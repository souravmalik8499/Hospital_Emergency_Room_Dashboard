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oura\Downloads\"/>
    </mc:Choice>
  </mc:AlternateContent>
  <xr:revisionPtr revIDLastSave="0" documentId="13_ncr:1_{72726A19-D6B1-4491-AF7D-413ED56156A3}" xr6:coauthVersionLast="47" xr6:coauthVersionMax="47" xr10:uidLastSave="{00000000-0000-0000-0000-000000000000}"/>
  <bookViews>
    <workbookView xWindow="-108" yWindow="-108" windowWidth="23256" windowHeight="13176" tabRatio="626" activeTab="2" xr2:uid="{3778F4B1-C079-49B6-A411-621EB326CAEF}"/>
  </bookViews>
  <sheets>
    <sheet name="Sheet1" sheetId="7" r:id="rId1"/>
    <sheet name="pivot report" sheetId="1" r:id="rId2"/>
    <sheet name="Dashboard" sheetId="2" r:id="rId3"/>
    <sheet name="Patient Satisfaction" sheetId="6" r:id="rId4"/>
    <sheet name="Avg wait daily trend" sheetId="5" r:id="rId5"/>
    <sheet name="daily er no patient" sheetId="3" r:id="rId6"/>
  </sheets>
  <definedNames>
    <definedName name="ExternalData_1" localSheetId="0" hidden="1">Sheet1!$A$3:$M$17</definedName>
    <definedName name="Slicer_Date__Month">#N/A</definedName>
    <definedName name="Slicer_Date__Year">#N/A</definedName>
  </definedNames>
  <calcPr calcId="191029"/>
  <pivotCaches>
    <pivotCache cacheId="159" r:id="rId7"/>
    <pivotCache cacheId="162" r:id="rId8"/>
    <pivotCache cacheId="165" r:id="rId9"/>
    <pivotCache cacheId="168" r:id="rId10"/>
    <pivotCache cacheId="171" r:id="rId11"/>
    <pivotCache cacheId="174" r:id="rId12"/>
    <pivotCache cacheId="177" r:id="rId13"/>
    <pivotCache cacheId="180" r:id="rId14"/>
    <pivotCache cacheId="183" r:id="rId15"/>
    <pivotCache cacheId="186" r:id="rId16"/>
    <pivotCache cacheId="189" r:id="rId17"/>
    <pivotCache cacheId="192"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3720360-6e31-4b2b-ae59-35b321dd17a5" name="Hospital Emergency Room Data" connection="Query - Hospital Emergency Room Data"/>
          <x15:modelTable id="Calendar_Table_0911b567-7b5c-4324-8580-16a5c8d12e8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5" i="1" l="1"/>
  <c r="U14" i="1"/>
  <c r="T14" i="1"/>
  <c r="T15" i="1"/>
  <c r="U15" i="1"/>
  <c r="S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94FFD1-578F-466B-927A-D70E99597EE2}" keepAlive="1" name="ModelConnection_ExternalData_1" description="Data Model" type="5" refreshedVersion="8" minRefreshableVersion="5" saveData="1">
    <dbPr connection="Data Model Connection" command="DRILLTHROUGH MAXROWS 1000 SELECT FROM [Model] WHERE (([Calendar_Table].[Date (Month)].&amp;[Jan],[Measures].[Count of Department Referral],[Hospital Emergency Room Data].[Department Referral].&amp;[Cardiology]))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3AB6AB45-3BC2-4760-AAE5-C5420195DB05}" name="Query - Calendar_Table" description="Connection to the 'Calendar_Table' query in the workbook." type="100" refreshedVersion="8" minRefreshableVersion="5">
    <extLst>
      <ext xmlns:x15="http://schemas.microsoft.com/office/spreadsheetml/2010/11/main" uri="{DE250136-89BD-433C-8126-D09CA5730AF9}">
        <x15:connection id="4c429ac0-fe9d-4caa-bd8f-ab08e0fe6ce2"/>
      </ext>
    </extLst>
  </connection>
  <connection id="3" xr16:uid="{7367ABD5-53D5-4A2C-89EA-51F02E7D7B9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aa11c40-9997-4e85-a18d-d9cda2ddc1a6"/>
      </ext>
    </extLst>
  </connection>
  <connection id="4" xr16:uid="{6EB0A961-B9FE-46AA-97F8-79E403FBBB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<sst xmlns="http://schemas.openxmlformats.org/spreadsheetml/2006/main" count="282" uniqueCount="125">
  <si>
    <t>Distinct Count of Patient Id</t>
  </si>
  <si>
    <t>Number of Patient</t>
  </si>
  <si>
    <t>Average of Patient Waittime</t>
  </si>
  <si>
    <t>Average of Patient Satisfaction Score</t>
  </si>
  <si>
    <t>Grand Total</t>
  </si>
  <si>
    <t>Row Labels</t>
  </si>
  <si>
    <t>daily trends of no of paitent</t>
  </si>
  <si>
    <t>Count of Patient Id</t>
  </si>
  <si>
    <t>Showing a dily trend with an area sparkline to apot patterns like busy days or sasonal trend.</t>
  </si>
  <si>
    <t>use an area chart to track daily changes and highlight days with longer wait times that might need improvements.</t>
  </si>
  <si>
    <t>avg wait daily trend</t>
  </si>
  <si>
    <t>Admitted</t>
  </si>
  <si>
    <t>Not Admitted</t>
  </si>
  <si>
    <t>Count of Patient Admission Flag</t>
  </si>
  <si>
    <t>Count of Patient Admission Flag2</t>
  </si>
  <si>
    <t>Admission Status</t>
  </si>
  <si>
    <t>% Status</t>
  </si>
  <si>
    <t>Patient</t>
  </si>
  <si>
    <t>0-09</t>
  </si>
  <si>
    <t>10-19</t>
  </si>
  <si>
    <t>20-29</t>
  </si>
  <si>
    <t>30-39</t>
  </si>
  <si>
    <t>40-49</t>
  </si>
  <si>
    <t>50-59</t>
  </si>
  <si>
    <t>60-69</t>
  </si>
  <si>
    <t>70-79</t>
  </si>
  <si>
    <t>Count of Age Group</t>
  </si>
  <si>
    <t>age group</t>
  </si>
  <si>
    <t>Delay</t>
  </si>
  <si>
    <t>Ontime</t>
  </si>
  <si>
    <t>Count of Patient attend status</t>
  </si>
  <si>
    <t>attend status</t>
  </si>
  <si>
    <t>Count of Patient Gender</t>
  </si>
  <si>
    <t>Female</t>
  </si>
  <si>
    <t>Male</t>
  </si>
  <si>
    <t>gender</t>
  </si>
  <si>
    <t>Count of Department Referral</t>
  </si>
  <si>
    <t>Cardiology</t>
  </si>
  <si>
    <t>Gastroenterology</t>
  </si>
  <si>
    <t>General Practice</t>
  </si>
  <si>
    <t>Neurology</t>
  </si>
  <si>
    <t>None</t>
  </si>
  <si>
    <t>Orthopedics</t>
  </si>
  <si>
    <t>Physiotherapy</t>
  </si>
  <si>
    <t>Renal</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</si>
  <si>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</si>
  <si>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</si>
  <si>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</si>
  <si>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</si>
  <si>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</si>
  <si>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</si>
  <si>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</si>
  <si>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</si>
  <si>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</si>
  <si>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</si>
  <si>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</si>
  <si>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</si>
  <si>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</si>
  <si>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729-44-7586</t>
  </si>
  <si>
    <t>D. Ornillos</t>
  </si>
  <si>
    <t>Asian</t>
  </si>
  <si>
    <t>765-53-4095</t>
  </si>
  <si>
    <t>B. Santostefano.</t>
  </si>
  <si>
    <t>Declined to Identify</t>
  </si>
  <si>
    <t>353-25-3957</t>
  </si>
  <si>
    <t>S. Levermore</t>
  </si>
  <si>
    <t>White</t>
  </si>
  <si>
    <t>208-59-6965</t>
  </si>
  <si>
    <t>K. Di Franceshci</t>
  </si>
  <si>
    <t>388-09-3917</t>
  </si>
  <si>
    <t>N. Ambrosch</t>
  </si>
  <si>
    <t>175-49-8550</t>
  </si>
  <si>
    <t>B. Nisot</t>
  </si>
  <si>
    <t>Pacific Islander</t>
  </si>
  <si>
    <t>366-34-5964</t>
  </si>
  <si>
    <t>P. Dovidian</t>
  </si>
  <si>
    <t>599-03-3606</t>
  </si>
  <si>
    <t>G. Deverose</t>
  </si>
  <si>
    <t>Native American/Alaska Native</t>
  </si>
  <si>
    <t>205-08-4156</t>
  </si>
  <si>
    <t>Q. Tschirasche</t>
  </si>
  <si>
    <t>310-36-1997</t>
  </si>
  <si>
    <t>S. Rennicks</t>
  </si>
  <si>
    <t>578-18-1747</t>
  </si>
  <si>
    <t>M. Scambler</t>
  </si>
  <si>
    <t>African American</t>
  </si>
  <si>
    <t>561-25-6133</t>
  </si>
  <si>
    <t>G. Bradlaugh</t>
  </si>
  <si>
    <t>348-60-4130</t>
  </si>
  <si>
    <t>Y. Curtin</t>
  </si>
  <si>
    <t>304-65-0090</t>
  </si>
  <si>
    <t>M. Caddens</t>
  </si>
  <si>
    <t>Data returned for Count of Department Referral, Cardiology, Jan (First 1000 rows).</t>
  </si>
  <si>
    <t>department referal</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</si>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</sst>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sz val="11"/>
      <color theme="1"/>
      <name val="Calibri"/>
      <family val="2"/>
      <scheme val="minor"/>
    </font>
    <font>
      <u/>
      <sz val="11"/>
      <color theme="10"/>
      <name val="Calibri"/>
      <family val="2"/>
      <scheme val="minor"/>
    </font>
    <font>
      <sz val="16"/>
      <color rgb="FFFF0000"/>
      <name val="Calibri"/>
      <family val="2"/>
      <scheme val="minor"/>
    </font>
    <font>
      <sz val="15"/>
      <color rgb="FFFF0000"/>
      <name val="Calibri"/>
      <family val="2"/>
      <scheme val="minor"/>
    </font>
    <font>
      <sz val="15"/>
      <color theme="1"/>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5"/>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21">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2" fillId="0" borderId="0" xfId="2" quotePrefix="1"/>
    <xf numFmtId="0" fontId="0" fillId="0" borderId="0" xfId="0" applyAlignment="1">
      <alignment horizontal="center"/>
    </xf>
    <xf numFmtId="1" fontId="0" fillId="0" borderId="0" xfId="0" applyNumberFormat="1"/>
    <xf numFmtId="10" fontId="0" fillId="0" borderId="0" xfId="0" applyNumberFormat="1"/>
    <xf numFmtId="0" fontId="0" fillId="3" borderId="0" xfId="0" applyFill="1" applyAlignment="1">
      <alignment horizontal="center"/>
    </xf>
    <xf numFmtId="9" fontId="0" fillId="0" borderId="0" xfId="1" applyFont="1" applyAlignment="1">
      <alignment horizontal="center"/>
    </xf>
    <xf numFmtId="0" fontId="8" fillId="0" borderId="0" xfId="0" applyFont="1"/>
    <xf numFmtId="14" fontId="0" fillId="0" borderId="0" xfId="0" applyNumberFormat="1"/>
    <xf numFmtId="21" fontId="0" fillId="0" borderId="0" xfId="0" applyNumberFormat="1"/>
    <xf numFmtId="0" fontId="6" fillId="0" borderId="0" xfId="0" applyFont="1"/>
    <xf numFmtId="0" fontId="7"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5" fillId="0" borderId="0" xfId="0" applyFont="1" applyAlignment="1">
      <alignment horizontal="center"/>
    </xf>
    <xf numFmtId="0" fontId="0" fillId="0" borderId="0" xfId="0" applyNumberFormat="1"/>
  </cellXfs>
  <cellStyles count="3">
    <cellStyle name="Hyperlink" xfId="2" builtinId="8"/>
    <cellStyle name="Normal" xfId="0" builtinId="0"/>
    <cellStyle name="Percent" xfId="1" builtinId="5"/>
  </cellStyles>
  <dxfs count="107">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6" formatCode="hh:mm:ss"/>
    </dxf>
    <dxf>
      <numFmt numFmtId="19" formatCode="dd/mm/yyyy"/>
    </dxf>
    <dxf>
      <fill>
        <patternFill patternType="none">
          <fgColor indexed="64"/>
          <bgColor auto="1"/>
        </patternFill>
      </fill>
      <border diagonalUp="0" diagonalDown="0">
        <left/>
        <right/>
        <top/>
        <bottom/>
        <vertical/>
        <horizontal/>
      </border>
    </dxf>
    <dxf>
      <font>
        <b/>
        <color theme="1"/>
      </font>
      <border>
        <bottom style="thin">
          <color theme="5"/>
        </bottom>
        <vertical/>
        <horizontal/>
      </border>
    </dxf>
    <dxf>
      <border>
        <vertical/>
        <horizontal/>
      </border>
    </dxf>
  </dxfs>
  <tableStyles count="2" defaultTableStyle="TableStyleMedium2" defaultPivotStyle="PivotStyleLight16">
    <tableStyle name="mystyle" pivot="0" table="0" count="10" xr9:uid="{52339B43-252A-42FA-8C25-10DF63E78CCA}">
      <tableStyleElement type="wholeTable" dxfId="106"/>
      <tableStyleElement type="headerRow" dxfId="105"/>
    </tableStyle>
    <tableStyle name="Slicer Style 1" pivot="0" table="0" count="1" xr9:uid="{AE4058F9-3B8A-402D-BB3B-5305A833DD07}">
      <tableStyleElement type="wholeTable" dxfId="10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[medicaldatapractice.xlsx]pivot report!PivotTable7</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bar"/>
        <c:grouping val="clustered"/>
        <c:varyColors val="0"/>
        <c:ser>
          <c:idx val="0"/>
          <c:order val="0"/>
          <c:tx>
            <c:strRef>
              <c:f>'pivot report'!$T$7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DAF-410F-ABFD-E32BB32580A5}"/>
              </c:ext>
            </c:extLst>
          </c:dPt>
          <c:dPt>
            <c:idx val="1"/>
            <c:invertIfNegative val="0"/>
            <c:bubble3D val="0"/>
            <c:extLst>
              <c:ext xmlns:c16="http://schemas.microsoft.com/office/drawing/2014/chart" uri="{C3380CC4-5D6E-409C-BE32-E72D297353CC}">
                <c16:uniqueId val="{00000001-FDAF-410F-ABFD-E32BB32580A5}"/>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report'!$S$8:$S$10</c:f>
              <c:strCache>
                <c:ptCount val="2"/>
                <c:pt idx="0">
                  <c:v>Admitted</c:v>
                </c:pt>
                <c:pt idx="1">
                  <c:v>Not Admitted</c:v>
                </c:pt>
              </c:strCache>
            </c:strRef>
          </c:cat>
          <c:val>
            <c:numRef>
              <c:f>'pivot report'!$T$8:$T$10</c:f>
              <c:numCache>
                <c:formatCode>0</c:formatCode>
                <c:ptCount val="2"/>
                <c:pt idx="0">
                  <c:v>235</c:v>
                </c:pt>
                <c:pt idx="1">
                  <c:v>250</c:v>
                </c:pt>
              </c:numCache>
            </c:numRef>
          </c:val>
          <c:extLst>
            <c:ext xmlns:c16="http://schemas.microsoft.com/office/drawing/2014/chart" uri="{C3380CC4-5D6E-409C-BE32-E72D297353CC}">
              <c16:uniqueId val="{00000005-D64A-4ADA-9C8C-F2933041C3F7}"/>
            </c:ext>
          </c:extLst>
        </c:ser>
        <c:ser>
          <c:idx val="1"/>
          <c:order val="1"/>
          <c:tx>
            <c:strRef>
              <c:f>'pivot report'!$U$7</c:f>
              <c:strCache>
                <c:ptCount val="1"/>
                <c:pt idx="0">
                  <c:v>Count of Patient Admission Flag2</c:v>
                </c:pt>
              </c:strCache>
            </c:strRef>
          </c:tx>
          <c:spPr>
            <a:solidFill>
              <a:schemeClr val="accent2"/>
            </a:solidFill>
            <a:ln>
              <a:noFill/>
            </a:ln>
            <a:effectLst/>
          </c:spPr>
          <c:invertIfNegative val="0"/>
          <c:cat>
            <c:strRef>
              <c:f>'pivot report'!$S$8:$S$10</c:f>
              <c:strCache>
                <c:ptCount val="2"/>
                <c:pt idx="0">
                  <c:v>Admitted</c:v>
                </c:pt>
                <c:pt idx="1">
                  <c:v>Not Admitted</c:v>
                </c:pt>
              </c:strCache>
            </c:strRef>
          </c:cat>
          <c:val>
            <c:numRef>
              <c:f>'pivot report'!$U$8:$U$10</c:f>
              <c:numCache>
                <c:formatCode>0.00%</c:formatCode>
                <c:ptCount val="2"/>
                <c:pt idx="0">
                  <c:v>0.4845360824742268</c:v>
                </c:pt>
                <c:pt idx="1">
                  <c:v>0.51546391752577314</c:v>
                </c:pt>
              </c:numCache>
            </c:numRef>
          </c:val>
          <c:extLst>
            <c:ext xmlns:c16="http://schemas.microsoft.com/office/drawing/2014/chart" uri="{C3380CC4-5D6E-409C-BE32-E72D297353CC}">
              <c16:uniqueId val="{00000006-D64A-4ADA-9C8C-F2933041C3F7}"/>
            </c:ext>
          </c:extLst>
        </c:ser>
        <c:dLbls>
          <c:showLegendKey val="0"/>
          <c:showVal val="0"/>
          <c:showCatName val="0"/>
          <c:showSerName val="0"/>
          <c:showPercent val="0"/>
          <c:showBubbleSize val="0"/>
        </c:dLbls>
        <c:gapWidth val="0"/>
        <c:axId val="2036133375"/>
        <c:axId val="1752884239"/>
      </c:barChart>
      <c:catAx>
        <c:axId val="2036133375"/>
        <c:scaling>
          <c:orientation val="minMax"/>
        </c:scaling>
        <c:delete val="1"/>
        <c:axPos val="l"/>
        <c:numFmt formatCode="General" sourceLinked="1"/>
        <c:majorTickMark val="none"/>
        <c:minorTickMark val="none"/>
        <c:tickLblPos val="nextTo"/>
        <c:crossAx val="1752884239"/>
        <c:crosses val="autoZero"/>
        <c:auto val="1"/>
        <c:lblAlgn val="ctr"/>
        <c:lblOffset val="100"/>
        <c:noMultiLvlLbl val="0"/>
      </c:catAx>
      <c:valAx>
        <c:axId val="175288423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3613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[medicaldatapractice.xlsx]pivot report!PivotTable4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1620626151013E-2"/>
          <c:y val="2.6881720430107527E-2"/>
          <c:w val="0.97237569060773477"/>
          <c:h val="0.9731182795698925"/>
        </c:manualLayout>
      </c:layout>
      <c:areaChart>
        <c:grouping val="standard"/>
        <c:varyColors val="0"/>
        <c:ser>
          <c:idx val="0"/>
          <c:order val="0"/>
          <c:tx>
            <c:strRef>
              <c:f>'pivot report'!$D$7</c:f>
              <c:strCache>
                <c:ptCount val="1"/>
                <c:pt idx="0">
                  <c:v>Total</c:v>
                </c:pt>
              </c:strCache>
            </c:strRef>
          </c:tx>
          <c:spPr>
            <a:solidFill>
              <a:schemeClr val="accent1"/>
            </a:solidFill>
            <a:ln w="25400">
              <a:noFill/>
            </a:ln>
            <a:effectLst/>
          </c:spPr>
          <c:cat>
            <c:strRef>
              <c:f>'pivot report'!$C$8:$C$38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report'!$D$8:$D$38</c:f>
              <c:numCache>
                <c:formatCode>0.00</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3-BF0B-4B76-A6F3-9E5C1878D785}"/>
            </c:ext>
          </c:extLst>
        </c:ser>
        <c:dLbls>
          <c:showLegendKey val="0"/>
          <c:showVal val="0"/>
          <c:showCatName val="0"/>
          <c:showSerName val="0"/>
          <c:showPercent val="0"/>
          <c:showBubbleSize val="0"/>
        </c:dLbls>
        <c:axId val="1941685919"/>
        <c:axId val="1752961999"/>
      </c:areaChart>
      <c:catAx>
        <c:axId val="1941685919"/>
        <c:scaling>
          <c:orientation val="minMax"/>
        </c:scaling>
        <c:delete val="1"/>
        <c:axPos val="b"/>
        <c:numFmt formatCode="General" sourceLinked="1"/>
        <c:majorTickMark val="out"/>
        <c:minorTickMark val="none"/>
        <c:tickLblPos val="nextTo"/>
        <c:crossAx val="1752961999"/>
        <c:crosses val="autoZero"/>
        <c:auto val="1"/>
        <c:lblAlgn val="ctr"/>
        <c:lblOffset val="100"/>
        <c:noMultiLvlLbl val="0"/>
      </c:catAx>
      <c:valAx>
        <c:axId val="175296199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416859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[medicaldatapractice.xlsx]pivot report!PivotTable5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39682539682542E-2"/>
          <c:y val="0.35353535353535354"/>
          <c:w val="0.96666666666666667"/>
          <c:h val="0.64646464646464652"/>
        </c:manualLayout>
      </c:layout>
      <c:areaChart>
        <c:grouping val="standard"/>
        <c:varyColors val="0"/>
        <c:ser>
          <c:idx val="0"/>
          <c:order val="0"/>
          <c:tx>
            <c:strRef>
              <c:f>'pivot report'!$L$7</c:f>
              <c:strCache>
                <c:ptCount val="1"/>
                <c:pt idx="0">
                  <c:v>Total</c:v>
                </c:pt>
              </c:strCache>
            </c:strRef>
          </c:tx>
          <c:spPr>
            <a:solidFill>
              <a:schemeClr val="accent1"/>
            </a:solidFill>
            <a:ln w="25400">
              <a:noFill/>
            </a:ln>
            <a:effectLst/>
          </c:spPr>
          <c:cat>
            <c:strRef>
              <c:f>'pivot report'!$K$8:$K$38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report'!$L$8:$L$38</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3-EF32-471C-9D23-0BC910EBA1BC}"/>
            </c:ext>
          </c:extLst>
        </c:ser>
        <c:dLbls>
          <c:showLegendKey val="0"/>
          <c:showVal val="0"/>
          <c:showCatName val="0"/>
          <c:showSerName val="0"/>
          <c:showPercent val="0"/>
          <c:showBubbleSize val="0"/>
        </c:dLbls>
        <c:axId val="1751583087"/>
        <c:axId val="1752889039"/>
      </c:areaChart>
      <c:catAx>
        <c:axId val="1751583087"/>
        <c:scaling>
          <c:orientation val="minMax"/>
        </c:scaling>
        <c:delete val="1"/>
        <c:axPos val="b"/>
        <c:numFmt formatCode="General" sourceLinked="1"/>
        <c:majorTickMark val="out"/>
        <c:minorTickMark val="none"/>
        <c:tickLblPos val="nextTo"/>
        <c:crossAx val="1752889039"/>
        <c:crosses val="autoZero"/>
        <c:auto val="1"/>
        <c:lblAlgn val="ctr"/>
        <c:lblOffset val="100"/>
        <c:noMultiLvlLbl val="0"/>
      </c:catAx>
      <c:valAx>
        <c:axId val="175288903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515830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[medicaldatapractice.xlsx]pivot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0967569731749639"/>
          <c:w val="1"/>
          <c:h val="0.69032430268250367"/>
        </c:manualLayout>
      </c:layout>
      <c:areaChart>
        <c:grouping val="standard"/>
        <c:varyColors val="0"/>
        <c:ser>
          <c:idx val="0"/>
          <c:order val="0"/>
          <c:tx>
            <c:strRef>
              <c:f>'pivot report'!$P$7</c:f>
              <c:strCache>
                <c:ptCount val="1"/>
                <c:pt idx="0">
                  <c:v>Total</c:v>
                </c:pt>
              </c:strCache>
            </c:strRef>
          </c:tx>
          <c:spPr>
            <a:solidFill>
              <a:schemeClr val="accent1"/>
            </a:solidFill>
            <a:ln w="25400">
              <a:noFill/>
            </a:ln>
            <a:effectLst/>
          </c:spPr>
          <c:cat>
            <c:strRef>
              <c:f>'pivot report'!$O$8:$O$38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report'!$P$8:$P$38</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3-3635-4BE0-8B2C-317A0C8D83CA}"/>
            </c:ext>
          </c:extLst>
        </c:ser>
        <c:dLbls>
          <c:showLegendKey val="0"/>
          <c:showVal val="0"/>
          <c:showCatName val="0"/>
          <c:showSerName val="0"/>
          <c:showPercent val="0"/>
          <c:showBubbleSize val="0"/>
        </c:dLbls>
        <c:axId val="1941707727"/>
        <c:axId val="1752855919"/>
      </c:areaChart>
      <c:catAx>
        <c:axId val="1941707727"/>
        <c:scaling>
          <c:orientation val="minMax"/>
        </c:scaling>
        <c:delete val="1"/>
        <c:axPos val="b"/>
        <c:numFmt formatCode="General" sourceLinked="1"/>
        <c:majorTickMark val="out"/>
        <c:minorTickMark val="none"/>
        <c:tickLblPos val="nextTo"/>
        <c:crossAx val="1752855919"/>
        <c:crosses val="autoZero"/>
        <c:auto val="1"/>
        <c:lblAlgn val="ctr"/>
        <c:lblOffset val="100"/>
        <c:noMultiLvlLbl val="0"/>
      </c:catAx>
      <c:valAx>
        <c:axId val="175285591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41707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[medicaldatapractice.xlsx]pivot report!PivotTable8</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report'!$U$20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report'!$T$21:$T$29</c:f>
              <c:strCache>
                <c:ptCount val="8"/>
                <c:pt idx="0">
                  <c:v>0-09</c:v>
                </c:pt>
                <c:pt idx="1">
                  <c:v>10-19</c:v>
                </c:pt>
                <c:pt idx="2">
                  <c:v>20-29</c:v>
                </c:pt>
                <c:pt idx="3">
                  <c:v>30-39</c:v>
                </c:pt>
                <c:pt idx="4">
                  <c:v>40-49</c:v>
                </c:pt>
                <c:pt idx="5">
                  <c:v>50-59</c:v>
                </c:pt>
                <c:pt idx="6">
                  <c:v>60-69</c:v>
                </c:pt>
                <c:pt idx="7">
                  <c:v>70-79</c:v>
                </c:pt>
              </c:strCache>
            </c:strRef>
          </c:cat>
          <c:val>
            <c:numRef>
              <c:f>'pivot report'!$U$21:$U$29</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4-BCFB-47DF-B5EF-A60F6EE5A8BC}"/>
            </c:ext>
          </c:extLst>
        </c:ser>
        <c:dLbls>
          <c:dLblPos val="outEnd"/>
          <c:showLegendKey val="0"/>
          <c:showVal val="1"/>
          <c:showCatName val="0"/>
          <c:showSerName val="0"/>
          <c:showPercent val="0"/>
          <c:showBubbleSize val="0"/>
        </c:dLbls>
        <c:gapWidth val="219"/>
        <c:overlap val="-27"/>
        <c:axId val="869837631"/>
        <c:axId val="865687439"/>
      </c:barChart>
      <c:catAx>
        <c:axId val="86983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687439"/>
        <c:crosses val="autoZero"/>
        <c:auto val="1"/>
        <c:lblAlgn val="ctr"/>
        <c:lblOffset val="100"/>
        <c:noMultiLvlLbl val="0"/>
      </c:catAx>
      <c:valAx>
        <c:axId val="86568743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6983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[medicaldatapractice.xlsx]pivot report!PivotTable9</c:name>
    <c:fmtId val="3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100475220638154"/>
          <c:y val="0.32291943445340937"/>
          <c:w val="0.55422059004335256"/>
          <c:h val="0.55992244796560919"/>
        </c:manualLayout>
      </c:layout>
      <c:pieChart>
        <c:varyColors val="1"/>
        <c:ser>
          <c:idx val="0"/>
          <c:order val="0"/>
          <c:tx>
            <c:strRef>
              <c:f>'pivot report'!$X$20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F42-4A61-9B9A-DF53CD5C0AD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F42-4A61-9B9A-DF53CD5C0A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report'!$W$21:$W$23</c:f>
              <c:strCache>
                <c:ptCount val="2"/>
                <c:pt idx="0">
                  <c:v>Delay</c:v>
                </c:pt>
                <c:pt idx="1">
                  <c:v>Ontime</c:v>
                </c:pt>
              </c:strCache>
            </c:strRef>
          </c:cat>
          <c:val>
            <c:numRef>
              <c:f>'pivot report'!$X$21:$X$23</c:f>
              <c:numCache>
                <c:formatCode>0</c:formatCode>
                <c:ptCount val="2"/>
                <c:pt idx="0">
                  <c:v>297</c:v>
                </c:pt>
                <c:pt idx="1">
                  <c:v>188</c:v>
                </c:pt>
              </c:numCache>
            </c:numRef>
          </c:val>
          <c:extLst>
            <c:ext xmlns:c16="http://schemas.microsoft.com/office/drawing/2014/chart" uri="{C3380CC4-5D6E-409C-BE32-E72D297353CC}">
              <c16:uniqueId val="{00000008-34CC-4950-93EA-EAF8CB25B59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4601321386550823"/>
          <c:y val="0.14642013926341396"/>
          <c:w val="0.51974573914694777"/>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[medicaldatapractice.xlsx]pivot report!PivotTable10</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4474913019593483"/>
          <c:y val="0.15080322874213586"/>
          <c:w val="0.47180181424690337"/>
          <c:h val="0.7003308180227471"/>
        </c:manualLayout>
      </c:layout>
      <c:doughnutChart>
        <c:varyColors val="1"/>
        <c:ser>
          <c:idx val="0"/>
          <c:order val="0"/>
          <c:tx>
            <c:strRef>
              <c:f>'pivot report'!$Y$7</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29B7-4B48-AC1B-1B3F1C2761CE}"/>
              </c:ext>
            </c:extLst>
          </c:dPt>
          <c:dPt>
            <c:idx val="1"/>
            <c:bubble3D val="0"/>
            <c:spPr>
              <a:solidFill>
                <a:schemeClr val="accent2"/>
              </a:solidFill>
              <a:ln>
                <a:noFill/>
              </a:ln>
              <a:effectLst/>
            </c:spPr>
            <c:extLst>
              <c:ext xmlns:c16="http://schemas.microsoft.com/office/drawing/2014/chart" uri="{C3380CC4-5D6E-409C-BE32-E72D297353CC}">
                <c16:uniqueId val="{00000003-29B7-4B48-AC1B-1B3F1C2761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report'!$X$8:$X$10</c:f>
              <c:strCache>
                <c:ptCount val="2"/>
                <c:pt idx="0">
                  <c:v>Female</c:v>
                </c:pt>
                <c:pt idx="1">
                  <c:v>Male</c:v>
                </c:pt>
              </c:strCache>
            </c:strRef>
          </c:cat>
          <c:val>
            <c:numRef>
              <c:f>'pivot report'!$Y$8:$Y$10</c:f>
              <c:numCache>
                <c:formatCode>0.00</c:formatCode>
                <c:ptCount val="2"/>
                <c:pt idx="0">
                  <c:v>239</c:v>
                </c:pt>
                <c:pt idx="1">
                  <c:v>246</c:v>
                </c:pt>
              </c:numCache>
            </c:numRef>
          </c:val>
          <c:extLst>
            <c:ext xmlns:c16="http://schemas.microsoft.com/office/drawing/2014/chart" uri="{C3380CC4-5D6E-409C-BE32-E72D297353CC}">
              <c16:uniqueId val="{00000008-1555-4F2A-9B3C-4D494B0A6ECD}"/>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24449537985833963"/>
          <c:y val="2.7837568338892137E-2"/>
          <c:w val="0.43206474190726157"/>
          <c:h val="0.172854703205767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[medicaldatapractice.xlsx]pivot report!PivotTable11</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970715739184284"/>
          <c:y val="4.6768707482993201E-2"/>
          <c:w val="0.57879471526733317"/>
          <c:h val="0.90646258503401356"/>
        </c:manualLayout>
      </c:layout>
      <c:barChart>
        <c:barDir val="bar"/>
        <c:grouping val="clustered"/>
        <c:varyColors val="0"/>
        <c:ser>
          <c:idx val="0"/>
          <c:order val="0"/>
          <c:tx>
            <c:strRef>
              <c:f>'pivot report'!$AD$7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report'!$AC$8:$AC$16</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report'!$AD$8:$AD$16</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4-D7CA-4779-949C-909F2124C964}"/>
            </c:ext>
          </c:extLst>
        </c:ser>
        <c:dLbls>
          <c:showLegendKey val="0"/>
          <c:showVal val="0"/>
          <c:showCatName val="0"/>
          <c:showSerName val="0"/>
          <c:showPercent val="0"/>
          <c:showBubbleSize val="0"/>
        </c:dLbls>
        <c:gapWidth val="92"/>
        <c:axId val="1758226047"/>
        <c:axId val="865735919"/>
      </c:barChart>
      <c:catAx>
        <c:axId val="175822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735919"/>
        <c:crosses val="autoZero"/>
        <c:auto val="1"/>
        <c:lblAlgn val="ctr"/>
        <c:lblOffset val="100"/>
        <c:noMultiLvlLbl val="0"/>
      </c:catAx>
      <c:valAx>
        <c:axId val="86573591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5822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[medicaldatapractice.xlsx]pivot report!PivotTable6</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0967569731749639"/>
          <c:w val="1"/>
          <c:h val="0.69032430268250367"/>
        </c:manualLayout>
      </c:layout>
      <c:areaChart>
        <c:grouping val="standard"/>
        <c:varyColors val="0"/>
        <c:ser>
          <c:idx val="0"/>
          <c:order val="0"/>
          <c:tx>
            <c:strRef>
              <c:f>'pivot report'!$P$7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report'!$O$8:$O$38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report'!$P$8:$P$38</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2-CE95-4C75-8191-F92D0D5A93D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41707727"/>
        <c:axId val="1752855919"/>
      </c:areaChart>
      <c:catAx>
        <c:axId val="19417077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2855919"/>
        <c:crosses val="autoZero"/>
        <c:auto val="1"/>
        <c:lblAlgn val="ctr"/>
        <c:lblOffset val="100"/>
        <c:noMultiLvlLbl val="0"/>
      </c:catAx>
      <c:valAx>
        <c:axId val="1752855919"/>
        <c:scaling>
          <c:orientation val="minMax"/>
        </c:scaling>
        <c:delete val="1"/>
        <c:axPos val="l"/>
        <c:numFmt formatCode="0.00" sourceLinked="1"/>
        <c:majorTickMark val="out"/>
        <c:minorTickMark val="none"/>
        <c:tickLblPos val="nextTo"/>
        <c:crossAx val="1941707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[medicaldatapractice.xlsx]pivot report!PivotTable5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18931772029599E-2"/>
          <c:y val="1.1019283746556474E-2"/>
          <c:w val="0.9589700717976013"/>
          <c:h val="0.93884774733736798"/>
        </c:manualLayout>
      </c:layout>
      <c:areaChart>
        <c:grouping val="standard"/>
        <c:varyColors val="0"/>
        <c:ser>
          <c:idx val="0"/>
          <c:order val="0"/>
          <c:tx>
            <c:strRef>
              <c:f>'pivot report'!$L$7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report'!$K$8:$K$38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report'!$L$8:$L$38</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2-E77C-427C-A6D4-E6865F759CD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51583087"/>
        <c:axId val="1752889039"/>
      </c:areaChart>
      <c:catAx>
        <c:axId val="17515830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2889039"/>
        <c:crosses val="autoZero"/>
        <c:auto val="1"/>
        <c:lblAlgn val="ctr"/>
        <c:lblOffset val="100"/>
        <c:noMultiLvlLbl val="0"/>
      </c:catAx>
      <c:valAx>
        <c:axId val="1752889039"/>
        <c:scaling>
          <c:orientation val="minMax"/>
        </c:scaling>
        <c:delete val="1"/>
        <c:axPos val="l"/>
        <c:numFmt formatCode="0.00" sourceLinked="1"/>
        <c:majorTickMark val="out"/>
        <c:minorTickMark val="none"/>
        <c:tickLblPos val="nextTo"/>
        <c:crossAx val="17515830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[medicaldatapractice.xlsx]pivot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92592592592587E-2"/>
          <c:y val="0.16224188790560473"/>
          <c:w val="0.81481481481481477"/>
          <c:h val="0.54277286135693203"/>
        </c:manualLayout>
      </c:layout>
      <c:areaChart>
        <c:grouping val="standard"/>
        <c:varyColors val="0"/>
        <c:ser>
          <c:idx val="0"/>
          <c:order val="0"/>
          <c:tx>
            <c:strRef>
              <c:f>'pivot report'!$D$7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report'!$C$8:$C$38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report'!$D$8:$D$38</c:f>
              <c:numCache>
                <c:formatCode>0.00</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2-3AC3-4577-AE38-1A0B853F88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7891664"/>
        <c:axId val="29068368"/>
      </c:areaChart>
      <c:catAx>
        <c:axId val="1478916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9068368"/>
        <c:crosses val="autoZero"/>
        <c:auto val="1"/>
        <c:lblAlgn val="ctr"/>
        <c:lblOffset val="100"/>
        <c:noMultiLvlLbl val="0"/>
      </c:catAx>
      <c:valAx>
        <c:axId val="29068368"/>
        <c:scaling>
          <c:orientation val="minMax"/>
        </c:scaling>
        <c:delete val="1"/>
        <c:axPos val="l"/>
        <c:numFmt formatCode="0.00" sourceLinked="1"/>
        <c:majorTickMark val="out"/>
        <c:minorTickMark val="none"/>
        <c:tickLblPos val="nextTo"/>
        <c:crossAx val="147891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Patient Satisfaction'!A1"/><Relationship Id="rId18" Type="http://schemas.openxmlformats.org/officeDocument/2006/relationships/chart" Target="../charts/chart7.xml"/><Relationship Id="rId3" Type="http://schemas.openxmlformats.org/officeDocument/2006/relationships/hyperlink" Target="https://www.pngall.com/hospital-png" TargetMode="External"/><Relationship Id="rId7" Type="http://schemas.openxmlformats.org/officeDocument/2006/relationships/image" Target="../media/image5.sv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hyperlink" Target="#'daily er no patient'!A1"/><Relationship Id="rId6" Type="http://schemas.openxmlformats.org/officeDocument/2006/relationships/image" Target="../media/image4.png"/><Relationship Id="rId11" Type="http://schemas.openxmlformats.org/officeDocument/2006/relationships/hyperlink" Target="#'Avg wait daily trend'!A1"/><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hyperlink" Target="#'Patient Satisfaction'!A1"/></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20</xdr:col>
      <xdr:colOff>1965960</xdr:colOff>
      <xdr:row>12</xdr:row>
      <xdr:rowOff>76200</xdr:rowOff>
    </xdr:from>
    <xdr:to>
      <xdr:col>21</xdr:col>
      <xdr:colOff>1874520</xdr:colOff>
      <xdr:row>15</xdr:row>
      <xdr:rowOff>106680</xdr:rowOff>
    </xdr:to>
    <xdr:graphicFrame macro="">
      <xdr:nvGraphicFramePr>
        <xdr:cNvPr id="5" name="Chart 4">
          <a:extLst>
            <a:ext uri="{FF2B5EF4-FFF2-40B4-BE49-F238E27FC236}">
              <a16:creationId xmlns:a16="http://schemas.microsoft.com/office/drawing/2014/main" id="{00D6B296-117F-79E0-1207-2656C9E42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83820</xdr:colOff>
      <xdr:row>3</xdr:row>
      <xdr:rowOff>68580</xdr:rowOff>
    </xdr:from>
    <xdr:to>
      <xdr:col>7</xdr:col>
      <xdr:colOff>480060</xdr:colOff>
      <xdr:row>6</xdr:row>
      <xdr:rowOff>175260</xdr:rowOff>
    </xdr:to>
    <xdr:sp macro="" textlink="">
      <xdr:nvSpPr>
        <xdr:cNvPr id="2" name="Rectangle: Rounded Corners 1">
          <a:extLst>
            <a:ext uri="{FF2B5EF4-FFF2-40B4-BE49-F238E27FC236}">
              <a16:creationId xmlns:a16="http://schemas.microsoft.com/office/drawing/2014/main" id="{402BD25B-3623-A0E9-1C69-A1DB6E3F409F}"/>
            </a:ext>
          </a:extLst>
        </xdr:cNvPr>
        <xdr:cNvSpPr/>
      </xdr:nvSpPr>
      <xdr:spPr>
        <a:xfrm>
          <a:off x="693420" y="617220"/>
          <a:ext cx="4053840" cy="655320"/>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525780</xdr:colOff>
      <xdr:row>3</xdr:row>
      <xdr:rowOff>60960</xdr:rowOff>
    </xdr:from>
    <xdr:to>
      <xdr:col>10</xdr:col>
      <xdr:colOff>7620</xdr:colOff>
      <xdr:row>6</xdr:row>
      <xdr:rowOff>167640</xdr:rowOff>
    </xdr:to>
    <xdr:sp macro="" textlink="">
      <xdr:nvSpPr>
        <xdr:cNvPr id="3" name="Rectangle: Rounded Corners 2">
          <a:extLst>
            <a:ext uri="{FF2B5EF4-FFF2-40B4-BE49-F238E27FC236}">
              <a16:creationId xmlns:a16="http://schemas.microsoft.com/office/drawing/2014/main" id="{10B87291-0682-7446-235C-25D7CE8BCC40}"/>
            </a:ext>
          </a:extLst>
        </xdr:cNvPr>
        <xdr:cNvSpPr/>
      </xdr:nvSpPr>
      <xdr:spPr>
        <a:xfrm>
          <a:off x="4792980" y="609600"/>
          <a:ext cx="1310640" cy="655320"/>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60960</xdr:colOff>
      <xdr:row>3</xdr:row>
      <xdr:rowOff>53340</xdr:rowOff>
    </xdr:from>
    <xdr:to>
      <xdr:col>12</xdr:col>
      <xdr:colOff>152400</xdr:colOff>
      <xdr:row>10</xdr:row>
      <xdr:rowOff>114300</xdr:rowOff>
    </xdr:to>
    <xdr:sp macro="" textlink="">
      <xdr:nvSpPr>
        <xdr:cNvPr id="4" name="Rectangle: Rounded Corners 3">
          <a:extLst>
            <a:ext uri="{FF2B5EF4-FFF2-40B4-BE49-F238E27FC236}">
              <a16:creationId xmlns:a16="http://schemas.microsoft.com/office/drawing/2014/main" id="{4B49C353-5D60-8B21-5EB4-0B05D89DF4DB}"/>
            </a:ext>
          </a:extLst>
        </xdr:cNvPr>
        <xdr:cNvSpPr/>
      </xdr:nvSpPr>
      <xdr:spPr>
        <a:xfrm>
          <a:off x="6156960" y="601980"/>
          <a:ext cx="1310640" cy="1341120"/>
        </a:xfrm>
        <a:prstGeom prst="roundRect">
          <a:avLst>
            <a:gd name="adj" fmla="val 6783"/>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243840</xdr:colOff>
      <xdr:row>3</xdr:row>
      <xdr:rowOff>38100</xdr:rowOff>
    </xdr:from>
    <xdr:to>
      <xdr:col>14</xdr:col>
      <xdr:colOff>335280</xdr:colOff>
      <xdr:row>10</xdr:row>
      <xdr:rowOff>121920</xdr:rowOff>
    </xdr:to>
    <xdr:sp macro="" textlink="">
      <xdr:nvSpPr>
        <xdr:cNvPr id="5" name="Rectangle: Rounded Corners 4">
          <a:extLst>
            <a:ext uri="{FF2B5EF4-FFF2-40B4-BE49-F238E27FC236}">
              <a16:creationId xmlns:a16="http://schemas.microsoft.com/office/drawing/2014/main" id="{A70AD105-815C-8509-71AD-0EFED1D06EBC}"/>
            </a:ext>
          </a:extLst>
        </xdr:cNvPr>
        <xdr:cNvSpPr/>
      </xdr:nvSpPr>
      <xdr:spPr>
        <a:xfrm>
          <a:off x="7559040" y="586740"/>
          <a:ext cx="1310640" cy="1363980"/>
        </a:xfrm>
        <a:prstGeom prst="roundRect">
          <a:avLst>
            <a:gd name="adj" fmla="val 5039"/>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76200</xdr:colOff>
      <xdr:row>7</xdr:row>
      <xdr:rowOff>175260</xdr:rowOff>
    </xdr:from>
    <xdr:to>
      <xdr:col>2</xdr:col>
      <xdr:colOff>213360</xdr:colOff>
      <xdr:row>27</xdr:row>
      <xdr:rowOff>167640</xdr:rowOff>
    </xdr:to>
    <xdr:sp macro="" textlink="">
      <xdr:nvSpPr>
        <xdr:cNvPr id="6" name="Rectangle: Rounded Corners 5">
          <a:extLst>
            <a:ext uri="{FF2B5EF4-FFF2-40B4-BE49-F238E27FC236}">
              <a16:creationId xmlns:a16="http://schemas.microsoft.com/office/drawing/2014/main" id="{75BE122E-594E-B89C-9E56-2E6CD525B61A}"/>
            </a:ext>
          </a:extLst>
        </xdr:cNvPr>
        <xdr:cNvSpPr/>
      </xdr:nvSpPr>
      <xdr:spPr>
        <a:xfrm>
          <a:off x="685800" y="1455420"/>
          <a:ext cx="746760" cy="3649980"/>
        </a:xfrm>
        <a:prstGeom prst="roundRect">
          <a:avLst>
            <a:gd name="adj" fmla="val 897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541020</xdr:colOff>
      <xdr:row>7</xdr:row>
      <xdr:rowOff>76200</xdr:rowOff>
    </xdr:from>
    <xdr:to>
      <xdr:col>5</xdr:col>
      <xdr:colOff>87211</xdr:colOff>
      <xdr:row>12</xdr:row>
      <xdr:rowOff>167640</xdr:rowOff>
    </xdr:to>
    <xdr:sp macro="" textlink="Dashboard!$A$6">
      <xdr:nvSpPr>
        <xdr:cNvPr id="7" name="Rectangle: Rounded Corners 6">
          <a:hlinkClick xmlns:r="http://schemas.openxmlformats.org/officeDocument/2006/relationships" r:id="rId1"/>
          <a:extLst>
            <a:ext uri="{FF2B5EF4-FFF2-40B4-BE49-F238E27FC236}">
              <a16:creationId xmlns:a16="http://schemas.microsoft.com/office/drawing/2014/main" id="{92BEE367-6B7F-9F6A-3AEE-D3909CBA9953}"/>
            </a:ext>
          </a:extLst>
        </xdr:cNvPr>
        <xdr:cNvSpPr/>
      </xdr:nvSpPr>
      <xdr:spPr>
        <a:xfrm>
          <a:off x="1760220" y="1356360"/>
          <a:ext cx="1374991" cy="1005840"/>
        </a:xfrm>
        <a:prstGeom prst="roundRect">
          <a:avLst>
            <a:gd name="adj" fmla="val 8753"/>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AB0E787-1163-4FE2-8704-9F655B4C6D18}"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editAs="absolute">
    <xdr:from>
      <xdr:col>5</xdr:col>
      <xdr:colOff>153379</xdr:colOff>
      <xdr:row>7</xdr:row>
      <xdr:rowOff>83820</xdr:rowOff>
    </xdr:from>
    <xdr:to>
      <xdr:col>7</xdr:col>
      <xdr:colOff>309170</xdr:colOff>
      <xdr:row>12</xdr:row>
      <xdr:rowOff>175260</xdr:rowOff>
    </xdr:to>
    <xdr:sp macro="" textlink="">
      <xdr:nvSpPr>
        <xdr:cNvPr id="8" name="Rectangle: Rounded Corners 7">
          <a:extLst>
            <a:ext uri="{FF2B5EF4-FFF2-40B4-BE49-F238E27FC236}">
              <a16:creationId xmlns:a16="http://schemas.microsoft.com/office/drawing/2014/main" id="{71C58272-AF77-A2B5-9312-68B7FD512A17}"/>
            </a:ext>
          </a:extLst>
        </xdr:cNvPr>
        <xdr:cNvSpPr/>
      </xdr:nvSpPr>
      <xdr:spPr>
        <a:xfrm>
          <a:off x="3201379" y="1363980"/>
          <a:ext cx="1374991" cy="1005840"/>
        </a:xfrm>
        <a:prstGeom prst="roundRect">
          <a:avLst>
            <a:gd name="adj" fmla="val 8753"/>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365760</xdr:colOff>
      <xdr:row>7</xdr:row>
      <xdr:rowOff>45720</xdr:rowOff>
    </xdr:from>
    <xdr:to>
      <xdr:col>10</xdr:col>
      <xdr:colOff>22859</xdr:colOff>
      <xdr:row>12</xdr:row>
      <xdr:rowOff>175260</xdr:rowOff>
    </xdr:to>
    <xdr:sp macro="" textlink="">
      <xdr:nvSpPr>
        <xdr:cNvPr id="9" name="Rectangle: Rounded Corners 8">
          <a:extLst>
            <a:ext uri="{FF2B5EF4-FFF2-40B4-BE49-F238E27FC236}">
              <a16:creationId xmlns:a16="http://schemas.microsoft.com/office/drawing/2014/main" id="{B63C3D4F-3F40-D827-33E4-C38EDF4DB3CE}"/>
            </a:ext>
          </a:extLst>
        </xdr:cNvPr>
        <xdr:cNvSpPr/>
      </xdr:nvSpPr>
      <xdr:spPr>
        <a:xfrm>
          <a:off x="4632960" y="1325880"/>
          <a:ext cx="1485899" cy="1043940"/>
        </a:xfrm>
        <a:prstGeom prst="roundRect">
          <a:avLst>
            <a:gd name="adj" fmla="val 8753"/>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525780</xdr:colOff>
      <xdr:row>16</xdr:row>
      <xdr:rowOff>121920</xdr:rowOff>
    </xdr:from>
    <xdr:to>
      <xdr:col>10</xdr:col>
      <xdr:colOff>0</xdr:colOff>
      <xdr:row>27</xdr:row>
      <xdr:rowOff>175260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0D8BB0CA-9995-AB0E-9601-10EACBB8783F}"/>
            </a:ext>
          </a:extLst>
        </xdr:cNvPr>
        <xdr:cNvSpPr/>
      </xdr:nvSpPr>
      <xdr:spPr>
        <a:xfrm>
          <a:off x="1744980" y="3048000"/>
          <a:ext cx="4351020" cy="2065020"/>
        </a:xfrm>
        <a:prstGeom prst="roundRect">
          <a:avLst>
            <a:gd name="adj" fmla="val 5020"/>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571500</xdr:colOff>
      <xdr:row>13</xdr:row>
      <xdr:rowOff>76200</xdr:rowOff>
    </xdr:from>
    <xdr:to>
      <xdr:col>9</xdr:col>
      <xdr:colOff>571500</xdr:colOff>
      <xdr:row>16</xdr:row>
      <xdr:rowOff>68580</xdr:rowOff>
    </xdr:to>
    <xdr:sp macro="" textlink="">
      <xdr:nvSpPr>
        <xdr:cNvPr id="13" name="Rectangle: Rounded Corners 12">
          <a:extLst>
            <a:ext uri="{FF2B5EF4-FFF2-40B4-BE49-F238E27FC236}">
              <a16:creationId xmlns:a16="http://schemas.microsoft.com/office/drawing/2014/main" id="{A9D4ED57-AA34-949F-B8BC-97710E2C855D}"/>
            </a:ext>
          </a:extLst>
        </xdr:cNvPr>
        <xdr:cNvSpPr/>
      </xdr:nvSpPr>
      <xdr:spPr>
        <a:xfrm>
          <a:off x="1790700" y="2453640"/>
          <a:ext cx="4267200" cy="541020"/>
        </a:xfrm>
        <a:prstGeom prst="roundRect">
          <a:avLst>
            <a:gd name="adj" fmla="val 2713"/>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76200</xdr:colOff>
      <xdr:row>10</xdr:row>
      <xdr:rowOff>175260</xdr:rowOff>
    </xdr:from>
    <xdr:to>
      <xdr:col>14</xdr:col>
      <xdr:colOff>342900</xdr:colOff>
      <xdr:row>28</xdr:row>
      <xdr:rowOff>22860</xdr:rowOff>
    </xdr:to>
    <xdr:sp macro="" textlink="">
      <xdr:nvSpPr>
        <xdr:cNvPr id="19" name="Rectangle: Rounded Corners 18">
          <a:extLst>
            <a:ext uri="{FF2B5EF4-FFF2-40B4-BE49-F238E27FC236}">
              <a16:creationId xmlns:a16="http://schemas.microsoft.com/office/drawing/2014/main" id="{8A8DA8FC-E2F6-5C8D-D33D-DC418E6CA277}"/>
            </a:ext>
          </a:extLst>
        </xdr:cNvPr>
        <xdr:cNvSpPr/>
      </xdr:nvSpPr>
      <xdr:spPr>
        <a:xfrm>
          <a:off x="6172200" y="2004060"/>
          <a:ext cx="2705100" cy="3139440"/>
        </a:xfrm>
        <a:prstGeom prst="roundRect">
          <a:avLst>
            <a:gd name="adj" fmla="val 5020"/>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3</xdr:row>
      <xdr:rowOff>106680</xdr:rowOff>
    </xdr:from>
    <xdr:to>
      <xdr:col>6</xdr:col>
      <xdr:colOff>472440</xdr:colOff>
      <xdr:row>4</xdr:row>
      <xdr:rowOff>175260</xdr:rowOff>
    </xdr:to>
    <xdr:sp macro="" textlink="">
      <xdr:nvSpPr>
        <xdr:cNvPr id="20" name="TextBox 19">
          <a:extLst>
            <a:ext uri="{FF2B5EF4-FFF2-40B4-BE49-F238E27FC236}">
              <a16:creationId xmlns:a16="http://schemas.microsoft.com/office/drawing/2014/main" id="{79082853-74C7-8B6F-545A-0FA526C2D160}"/>
            </a:ext>
          </a:extLst>
        </xdr:cNvPr>
        <xdr:cNvSpPr txBox="1"/>
      </xdr:nvSpPr>
      <xdr:spPr>
        <a:xfrm>
          <a:off x="1219200" y="655320"/>
          <a:ext cx="2910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u="sng"/>
            <a:t>Medical Emergency Room Dashboard</a:t>
          </a:r>
        </a:p>
      </xdr:txBody>
    </xdr:sp>
    <xdr:clientData/>
  </xdr:twoCellAnchor>
  <xdr:twoCellAnchor editAs="oneCell">
    <xdr:from>
      <xdr:col>1</xdr:col>
      <xdr:colOff>83820</xdr:colOff>
      <xdr:row>3</xdr:row>
      <xdr:rowOff>68580</xdr:rowOff>
    </xdr:from>
    <xdr:to>
      <xdr:col>1</xdr:col>
      <xdr:colOff>548640</xdr:colOff>
      <xdr:row>5</xdr:row>
      <xdr:rowOff>101571</xdr:rowOff>
    </xdr:to>
    <xdr:pic>
      <xdr:nvPicPr>
        <xdr:cNvPr id="22" name="Picture 21">
          <a:extLst>
            <a:ext uri="{FF2B5EF4-FFF2-40B4-BE49-F238E27FC236}">
              <a16:creationId xmlns:a16="http://schemas.microsoft.com/office/drawing/2014/main" id="{F17E46F6-D6CB-AD42-62DC-C7FFA55871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693420" y="617220"/>
          <a:ext cx="464820" cy="398751"/>
        </a:xfrm>
        <a:prstGeom prst="rect">
          <a:avLst/>
        </a:prstGeom>
      </xdr:spPr>
    </xdr:pic>
    <xdr:clientData/>
  </xdr:twoCellAnchor>
  <xdr:oneCellAnchor>
    <xdr:from>
      <xdr:col>1</xdr:col>
      <xdr:colOff>83820</xdr:colOff>
      <xdr:row>11</xdr:row>
      <xdr:rowOff>100400</xdr:rowOff>
    </xdr:from>
    <xdr:ext cx="464820" cy="79792"/>
    <xdr:sp macro="" textlink="">
      <xdr:nvSpPr>
        <xdr:cNvPr id="23" name="TextBox 22">
          <a:extLst>
            <a:ext uri="{FF2B5EF4-FFF2-40B4-BE49-F238E27FC236}">
              <a16:creationId xmlns:a16="http://schemas.microsoft.com/office/drawing/2014/main" id="{9B69606A-5EAC-0EE7-C186-FA6FD40E4C48}"/>
            </a:ext>
          </a:extLst>
        </xdr:cNvPr>
        <xdr:cNvSpPr txBox="1"/>
      </xdr:nvSpPr>
      <xdr:spPr>
        <a:xfrm>
          <a:off x="693420" y="2112080"/>
          <a:ext cx="464820" cy="79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xdr:from>
      <xdr:col>3</xdr:col>
      <xdr:colOff>213360</xdr:colOff>
      <xdr:row>4</xdr:row>
      <xdr:rowOff>106680</xdr:rowOff>
    </xdr:from>
    <xdr:to>
      <xdr:col>5</xdr:col>
      <xdr:colOff>236220</xdr:colOff>
      <xdr:row>5</xdr:row>
      <xdr:rowOff>175260</xdr:rowOff>
    </xdr:to>
    <xdr:sp macro="" textlink="">
      <xdr:nvSpPr>
        <xdr:cNvPr id="24" name="TextBox 23">
          <a:extLst>
            <a:ext uri="{FF2B5EF4-FFF2-40B4-BE49-F238E27FC236}">
              <a16:creationId xmlns:a16="http://schemas.microsoft.com/office/drawing/2014/main" id="{E01146DF-4C9F-4DEF-A9EA-B62816966F17}"/>
            </a:ext>
          </a:extLst>
        </xdr:cNvPr>
        <xdr:cNvSpPr txBox="1"/>
      </xdr:nvSpPr>
      <xdr:spPr>
        <a:xfrm>
          <a:off x="2042160" y="838200"/>
          <a:ext cx="1242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u="sng"/>
            <a:t>Monthly</a:t>
          </a:r>
          <a:r>
            <a:rPr lang="en-IN" sz="1400" b="1" u="sng" baseline="0"/>
            <a:t> Report</a:t>
          </a:r>
          <a:endParaRPr lang="en-IN" sz="1400" b="1" u="sng"/>
        </a:p>
      </xdr:txBody>
    </xdr:sp>
    <xdr:clientData/>
  </xdr:twoCellAnchor>
  <xdr:twoCellAnchor>
    <xdr:from>
      <xdr:col>3</xdr:col>
      <xdr:colOff>449580</xdr:colOff>
      <xdr:row>8</xdr:row>
      <xdr:rowOff>91440</xdr:rowOff>
    </xdr:from>
    <xdr:to>
      <xdr:col>4</xdr:col>
      <xdr:colOff>411480</xdr:colOff>
      <xdr:row>10</xdr:row>
      <xdr:rowOff>7620</xdr:rowOff>
    </xdr:to>
    <xdr:sp macro="" textlink="'pivot report'!A6">
      <xdr:nvSpPr>
        <xdr:cNvPr id="26" name="TextBox 25">
          <a:hlinkClick xmlns:r="http://schemas.openxmlformats.org/officeDocument/2006/relationships" r:id="rId1"/>
          <a:extLst>
            <a:ext uri="{FF2B5EF4-FFF2-40B4-BE49-F238E27FC236}">
              <a16:creationId xmlns:a16="http://schemas.microsoft.com/office/drawing/2014/main" id="{CF937FA2-421A-7A2E-3869-7199F2925BCD}"/>
            </a:ext>
          </a:extLst>
        </xdr:cNvPr>
        <xdr:cNvSpPr txBox="1"/>
      </xdr:nvSpPr>
      <xdr:spPr>
        <a:xfrm>
          <a:off x="2278380" y="1554480"/>
          <a:ext cx="5715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C6F826-1118-4187-914D-92A2C351A60E}" type="TxLink">
            <a:rPr lang="en-US" sz="1100" b="0" i="0" u="none" strike="noStrike">
              <a:solidFill>
                <a:srgbClr val="000000"/>
              </a:solidFill>
              <a:latin typeface="Calibri"/>
              <a:ea typeface="Calibri"/>
              <a:cs typeface="Calibri"/>
            </a:rPr>
            <a:pPr/>
            <a:t>485</a:t>
          </a:fld>
          <a:endParaRPr lang="en-IN" sz="1100"/>
        </a:p>
      </xdr:txBody>
    </xdr:sp>
    <xdr:clientData/>
  </xdr:twoCellAnchor>
  <xdr:twoCellAnchor>
    <xdr:from>
      <xdr:col>3</xdr:col>
      <xdr:colOff>220980</xdr:colOff>
      <xdr:row>9</xdr:row>
      <xdr:rowOff>53340</xdr:rowOff>
    </xdr:from>
    <xdr:to>
      <xdr:col>5</xdr:col>
      <xdr:colOff>53340</xdr:colOff>
      <xdr:row>10</xdr:row>
      <xdr:rowOff>152400</xdr:rowOff>
    </xdr:to>
    <xdr:sp macro="" textlink="'pivot report'!A6">
      <xdr:nvSpPr>
        <xdr:cNvPr id="27" name="TextBox 26">
          <a:extLst>
            <a:ext uri="{FF2B5EF4-FFF2-40B4-BE49-F238E27FC236}">
              <a16:creationId xmlns:a16="http://schemas.microsoft.com/office/drawing/2014/main" id="{BF1323F3-B5D4-4411-AAE7-BE61B598F026}"/>
            </a:ext>
          </a:extLst>
        </xdr:cNvPr>
        <xdr:cNvSpPr txBox="1"/>
      </xdr:nvSpPr>
      <xdr:spPr>
        <a:xfrm>
          <a:off x="2049780" y="1699260"/>
          <a:ext cx="10515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a:t>
          </a:r>
          <a:r>
            <a:rPr lang="en-IN" sz="1100" baseline="0"/>
            <a:t> of patient</a:t>
          </a:r>
          <a:endParaRPr lang="en-IN" sz="1100"/>
        </a:p>
      </xdr:txBody>
    </xdr:sp>
    <xdr:clientData/>
  </xdr:twoCellAnchor>
  <xdr:twoCellAnchor>
    <xdr:from>
      <xdr:col>5</xdr:col>
      <xdr:colOff>557239</xdr:colOff>
      <xdr:row>8</xdr:row>
      <xdr:rowOff>106680</xdr:rowOff>
    </xdr:from>
    <xdr:to>
      <xdr:col>6</xdr:col>
      <xdr:colOff>519139</xdr:colOff>
      <xdr:row>10</xdr:row>
      <xdr:rowOff>22860</xdr:rowOff>
    </xdr:to>
    <xdr:sp macro="" textlink="'pivot report'!A13">
      <xdr:nvSpPr>
        <xdr:cNvPr id="28" name="TextBox 27">
          <a:extLst>
            <a:ext uri="{FF2B5EF4-FFF2-40B4-BE49-F238E27FC236}">
              <a16:creationId xmlns:a16="http://schemas.microsoft.com/office/drawing/2014/main" id="{6095E104-E674-4BEC-808D-B5B3E3020049}"/>
            </a:ext>
          </a:extLst>
        </xdr:cNvPr>
        <xdr:cNvSpPr txBox="1"/>
      </xdr:nvSpPr>
      <xdr:spPr>
        <a:xfrm>
          <a:off x="3605239" y="1569720"/>
          <a:ext cx="5715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AC677F-49FB-4567-A32B-3632ADCE35FE}" type="TxLink">
            <a:rPr lang="en-US" sz="1100" b="0" i="0" u="none" strike="noStrike">
              <a:solidFill>
                <a:srgbClr val="000000"/>
              </a:solidFill>
              <a:latin typeface="Calibri"/>
              <a:ea typeface="Calibri"/>
              <a:cs typeface="Calibri"/>
            </a:rPr>
            <a:pPr/>
            <a:t>35.51</a:t>
          </a:fld>
          <a:endParaRPr lang="en-IN" sz="1100"/>
        </a:p>
      </xdr:txBody>
    </xdr:sp>
    <xdr:clientData/>
  </xdr:twoCellAnchor>
  <xdr:twoCellAnchor>
    <xdr:from>
      <xdr:col>5</xdr:col>
      <xdr:colOff>205740</xdr:colOff>
      <xdr:row>9</xdr:row>
      <xdr:rowOff>91440</xdr:rowOff>
    </xdr:from>
    <xdr:to>
      <xdr:col>7</xdr:col>
      <xdr:colOff>403859</xdr:colOff>
      <xdr:row>11</xdr:row>
      <xdr:rowOff>7620</xdr:rowOff>
    </xdr:to>
    <xdr:sp macro="" textlink="'pivot report'!A6">
      <xdr:nvSpPr>
        <xdr:cNvPr id="29" name="TextBox 28">
          <a:extLst>
            <a:ext uri="{FF2B5EF4-FFF2-40B4-BE49-F238E27FC236}">
              <a16:creationId xmlns:a16="http://schemas.microsoft.com/office/drawing/2014/main" id="{A9A65957-F4E1-45ED-BC12-E81FA8330B88}"/>
            </a:ext>
          </a:extLst>
        </xdr:cNvPr>
        <xdr:cNvSpPr txBox="1"/>
      </xdr:nvSpPr>
      <xdr:spPr>
        <a:xfrm>
          <a:off x="3253740" y="1737360"/>
          <a:ext cx="1417319"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a:t>
          </a:r>
          <a:r>
            <a:rPr lang="en-IN" sz="1100" baseline="0"/>
            <a:t> Wate Time</a:t>
          </a:r>
          <a:endParaRPr lang="en-IN" sz="1100"/>
        </a:p>
      </xdr:txBody>
    </xdr:sp>
    <xdr:clientData/>
  </xdr:twoCellAnchor>
  <xdr:twoCellAnchor>
    <xdr:from>
      <xdr:col>8</xdr:col>
      <xdr:colOff>228601</xdr:colOff>
      <xdr:row>8</xdr:row>
      <xdr:rowOff>83820</xdr:rowOff>
    </xdr:from>
    <xdr:to>
      <xdr:col>9</xdr:col>
      <xdr:colOff>190501</xdr:colOff>
      <xdr:row>10</xdr:row>
      <xdr:rowOff>0</xdr:rowOff>
    </xdr:to>
    <xdr:sp macro="" textlink="'pivot report'!A19">
      <xdr:nvSpPr>
        <xdr:cNvPr id="30" name="TextBox 29">
          <a:extLst>
            <a:ext uri="{FF2B5EF4-FFF2-40B4-BE49-F238E27FC236}">
              <a16:creationId xmlns:a16="http://schemas.microsoft.com/office/drawing/2014/main" id="{9A673499-EB31-4561-A0C4-AC2F97124EC8}"/>
            </a:ext>
          </a:extLst>
        </xdr:cNvPr>
        <xdr:cNvSpPr txBox="1"/>
      </xdr:nvSpPr>
      <xdr:spPr>
        <a:xfrm>
          <a:off x="5105401" y="1546860"/>
          <a:ext cx="5715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F14DDE-B4BA-4D06-BA30-2BE5ECCF4A5A}" type="TxLink">
            <a:rPr lang="en-US" sz="1100" b="0" i="0" u="none" strike="noStrike">
              <a:solidFill>
                <a:srgbClr val="000000"/>
              </a:solidFill>
              <a:latin typeface="Calibri"/>
              <a:ea typeface="Calibri"/>
              <a:cs typeface="Calibri"/>
            </a:rPr>
            <a:pPr/>
            <a:t>4.71</a:t>
          </a:fld>
          <a:endParaRPr lang="en-IN" sz="1100"/>
        </a:p>
      </xdr:txBody>
    </xdr:sp>
    <xdr:clientData/>
  </xdr:twoCellAnchor>
  <xdr:twoCellAnchor>
    <xdr:from>
      <xdr:col>7</xdr:col>
      <xdr:colOff>297181</xdr:colOff>
      <xdr:row>9</xdr:row>
      <xdr:rowOff>114300</xdr:rowOff>
    </xdr:from>
    <xdr:to>
      <xdr:col>10</xdr:col>
      <xdr:colOff>121921</xdr:colOff>
      <xdr:row>11</xdr:row>
      <xdr:rowOff>30480</xdr:rowOff>
    </xdr:to>
    <xdr:sp macro="" textlink="'pivot report'!A6">
      <xdr:nvSpPr>
        <xdr:cNvPr id="31" name="TextBox 30">
          <a:extLst>
            <a:ext uri="{FF2B5EF4-FFF2-40B4-BE49-F238E27FC236}">
              <a16:creationId xmlns:a16="http://schemas.microsoft.com/office/drawing/2014/main" id="{6F01EF78-4F18-4B30-86C7-68B48A99D675}"/>
            </a:ext>
          </a:extLst>
        </xdr:cNvPr>
        <xdr:cNvSpPr txBox="1"/>
      </xdr:nvSpPr>
      <xdr:spPr>
        <a:xfrm>
          <a:off x="4564381" y="1760220"/>
          <a:ext cx="16535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Patient Satisfaction Score</a:t>
          </a:r>
          <a:endParaRPr lang="en-IN" sz="1100"/>
        </a:p>
      </xdr:txBody>
    </xdr:sp>
    <xdr:clientData/>
  </xdr:twoCellAnchor>
  <xdr:twoCellAnchor editAs="oneCell">
    <xdr:from>
      <xdr:col>2</xdr:col>
      <xdr:colOff>502920</xdr:colOff>
      <xdr:row>6</xdr:row>
      <xdr:rowOff>144780</xdr:rowOff>
    </xdr:from>
    <xdr:to>
      <xdr:col>3</xdr:col>
      <xdr:colOff>457200</xdr:colOff>
      <xdr:row>9</xdr:row>
      <xdr:rowOff>160020</xdr:rowOff>
    </xdr:to>
    <xdr:pic>
      <xdr:nvPicPr>
        <xdr:cNvPr id="33" name="Graphic 32" descr="Users with solid fill">
          <a:extLst>
            <a:ext uri="{FF2B5EF4-FFF2-40B4-BE49-F238E27FC236}">
              <a16:creationId xmlns:a16="http://schemas.microsoft.com/office/drawing/2014/main" id="{E089B757-8DB0-F708-AB6F-1DAEE249D88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22120" y="1242060"/>
          <a:ext cx="563880" cy="563880"/>
        </a:xfrm>
        <a:prstGeom prst="rect">
          <a:avLst/>
        </a:prstGeom>
      </xdr:spPr>
    </xdr:pic>
    <xdr:clientData/>
  </xdr:twoCellAnchor>
  <xdr:twoCellAnchor editAs="oneCell">
    <xdr:from>
      <xdr:col>6</xdr:col>
      <xdr:colOff>579120</xdr:colOff>
      <xdr:row>7</xdr:row>
      <xdr:rowOff>91440</xdr:rowOff>
    </xdr:from>
    <xdr:to>
      <xdr:col>7</xdr:col>
      <xdr:colOff>335280</xdr:colOff>
      <xdr:row>9</xdr:row>
      <xdr:rowOff>91440</xdr:rowOff>
    </xdr:to>
    <xdr:pic>
      <xdr:nvPicPr>
        <xdr:cNvPr id="11" name="Graphic 10" descr="Stopwatch with solid fill">
          <a:extLst>
            <a:ext uri="{FF2B5EF4-FFF2-40B4-BE49-F238E27FC236}">
              <a16:creationId xmlns:a16="http://schemas.microsoft.com/office/drawing/2014/main" id="{59DD1798-4D82-4F9D-CF12-5EFBC845FD7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36720" y="1371600"/>
          <a:ext cx="365760" cy="365760"/>
        </a:xfrm>
        <a:prstGeom prst="rect">
          <a:avLst/>
        </a:prstGeom>
      </xdr:spPr>
    </xdr:pic>
    <xdr:clientData/>
  </xdr:twoCellAnchor>
  <xdr:twoCellAnchor editAs="oneCell">
    <xdr:from>
      <xdr:col>9</xdr:col>
      <xdr:colOff>198120</xdr:colOff>
      <xdr:row>7</xdr:row>
      <xdr:rowOff>39710</xdr:rowOff>
    </xdr:from>
    <xdr:to>
      <xdr:col>10</xdr:col>
      <xdr:colOff>45720</xdr:colOff>
      <xdr:row>9</xdr:row>
      <xdr:rowOff>15240</xdr:rowOff>
    </xdr:to>
    <xdr:pic>
      <xdr:nvPicPr>
        <xdr:cNvPr id="16" name="Graphic 15" descr="Star with solid fill">
          <a:extLst>
            <a:ext uri="{FF2B5EF4-FFF2-40B4-BE49-F238E27FC236}">
              <a16:creationId xmlns:a16="http://schemas.microsoft.com/office/drawing/2014/main" id="{EE2EF382-E8EB-DBDB-4516-4F639983B3A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84520" y="1319870"/>
          <a:ext cx="457200" cy="341290"/>
        </a:xfrm>
        <a:prstGeom prst="rect">
          <a:avLst/>
        </a:prstGeom>
      </xdr:spPr>
    </xdr:pic>
    <xdr:clientData/>
  </xdr:twoCellAnchor>
  <xdr:twoCellAnchor editAs="oneCell">
    <xdr:from>
      <xdr:col>1</xdr:col>
      <xdr:colOff>76200</xdr:colOff>
      <xdr:row>7</xdr:row>
      <xdr:rowOff>106680</xdr:rowOff>
    </xdr:from>
    <xdr:to>
      <xdr:col>2</xdr:col>
      <xdr:colOff>320040</xdr:colOff>
      <xdr:row>28</xdr:row>
      <xdr:rowOff>22860</xdr:rowOff>
    </xdr:to>
    <mc:AlternateContent xmlns:mc="http://schemas.openxmlformats.org/markup-compatibility/2006" xmlns:a14="http://schemas.microsoft.com/office/drawing/2010/main">
      <mc:Choice Requires="a14">
        <xdr:graphicFrame macro="">
          <xdr:nvGraphicFramePr>
            <xdr:cNvPr id="17" name="Date (Month)">
              <a:extLst>
                <a:ext uri="{FF2B5EF4-FFF2-40B4-BE49-F238E27FC236}">
                  <a16:creationId xmlns:a16="http://schemas.microsoft.com/office/drawing/2014/main" id="{8F2A8499-C03F-4AAD-B791-4B5EA20C152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85800" y="1386840"/>
              <a:ext cx="853440" cy="3756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10</xdr:row>
      <xdr:rowOff>68580</xdr:rowOff>
    </xdr:from>
    <xdr:to>
      <xdr:col>5</xdr:col>
      <xdr:colOff>83820</xdr:colOff>
      <xdr:row>12</xdr:row>
      <xdr:rowOff>121920</xdr:rowOff>
    </xdr:to>
    <xdr:graphicFrame macro="">
      <xdr:nvGraphicFramePr>
        <xdr:cNvPr id="14" name="Chart 13">
          <a:hlinkClick xmlns:r="http://schemas.openxmlformats.org/officeDocument/2006/relationships" r:id="rId1"/>
          <a:extLst>
            <a:ext uri="{FF2B5EF4-FFF2-40B4-BE49-F238E27FC236}">
              <a16:creationId xmlns:a16="http://schemas.microsoft.com/office/drawing/2014/main" id="{78CB1026-EC60-4A0B-9F5C-E1E53E4C0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198120</xdr:colOff>
      <xdr:row>10</xdr:row>
      <xdr:rowOff>7620</xdr:rowOff>
    </xdr:from>
    <xdr:to>
      <xdr:col>7</xdr:col>
      <xdr:colOff>259080</xdr:colOff>
      <xdr:row>12</xdr:row>
      <xdr:rowOff>144780</xdr:rowOff>
    </xdr:to>
    <xdr:graphicFrame macro="">
      <xdr:nvGraphicFramePr>
        <xdr:cNvPr id="18" name="Chart 17">
          <a:hlinkClick xmlns:r="http://schemas.openxmlformats.org/officeDocument/2006/relationships" r:id="rId11"/>
          <a:extLst>
            <a:ext uri="{FF2B5EF4-FFF2-40B4-BE49-F238E27FC236}">
              <a16:creationId xmlns:a16="http://schemas.microsoft.com/office/drawing/2014/main" id="{59621644-3979-463B-893B-EAC9D8DDC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381000</xdr:colOff>
      <xdr:row>10</xdr:row>
      <xdr:rowOff>30480</xdr:rowOff>
    </xdr:from>
    <xdr:to>
      <xdr:col>10</xdr:col>
      <xdr:colOff>7620</xdr:colOff>
      <xdr:row>12</xdr:row>
      <xdr:rowOff>114300</xdr:rowOff>
    </xdr:to>
    <xdr:graphicFrame macro="">
      <xdr:nvGraphicFramePr>
        <xdr:cNvPr id="25" name="Chart 24">
          <a:hlinkClick xmlns:r="http://schemas.openxmlformats.org/officeDocument/2006/relationships" r:id="rId13"/>
          <a:extLst>
            <a:ext uri="{FF2B5EF4-FFF2-40B4-BE49-F238E27FC236}">
              <a16:creationId xmlns:a16="http://schemas.microsoft.com/office/drawing/2014/main" id="{A0D94D79-2EF3-4BA8-B033-8ECB3EADB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571500</xdr:colOff>
          <xdr:row>13</xdr:row>
          <xdr:rowOff>76200</xdr:rowOff>
        </xdr:from>
        <xdr:to>
          <xdr:col>9</xdr:col>
          <xdr:colOff>571500</xdr:colOff>
          <xdr:row>16</xdr:row>
          <xdr:rowOff>83820</xdr:rowOff>
        </xdr:to>
        <xdr:pic>
          <xdr:nvPicPr>
            <xdr:cNvPr id="42" name="Picture 41">
              <a:extLst>
                <a:ext uri="{FF2B5EF4-FFF2-40B4-BE49-F238E27FC236}">
                  <a16:creationId xmlns:a16="http://schemas.microsoft.com/office/drawing/2014/main" id="{6EDA840B-2479-0451-949F-BDEFE2672154}"/>
                </a:ext>
              </a:extLst>
            </xdr:cNvPr>
            <xdr:cNvPicPr>
              <a:picLocks noChangeAspect="1" noChangeArrowheads="1"/>
              <a:extLst>
                <a:ext uri="{84589F7E-364E-4C9E-8A38-B11213B215E9}">
                  <a14:cameraTool cellRange="'pivot report'!$S$13:$V$15" spid="_x0000_s2059"/>
                </a:ext>
              </a:extLst>
            </xdr:cNvPicPr>
          </xdr:nvPicPr>
          <xdr:blipFill>
            <a:blip xmlns:r="http://schemas.openxmlformats.org/officeDocument/2006/relationships" r:embed="rId15"/>
            <a:srcRect/>
            <a:stretch>
              <a:fillRect/>
            </a:stretch>
          </xdr:blipFill>
          <xdr:spPr bwMode="auto">
            <a:xfrm>
              <a:off x="1790700" y="2453640"/>
              <a:ext cx="4267200" cy="5562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571500</xdr:colOff>
      <xdr:row>16</xdr:row>
      <xdr:rowOff>152400</xdr:rowOff>
    </xdr:from>
    <xdr:to>
      <xdr:col>9</xdr:col>
      <xdr:colOff>563880</xdr:colOff>
      <xdr:row>27</xdr:row>
      <xdr:rowOff>152400</xdr:rowOff>
    </xdr:to>
    <xdr:graphicFrame macro="">
      <xdr:nvGraphicFramePr>
        <xdr:cNvPr id="43" name="Chart 42">
          <a:extLst>
            <a:ext uri="{FF2B5EF4-FFF2-40B4-BE49-F238E27FC236}">
              <a16:creationId xmlns:a16="http://schemas.microsoft.com/office/drawing/2014/main" id="{27EBB54D-1584-4059-9960-E097F8963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22860</xdr:colOff>
      <xdr:row>26</xdr:row>
      <xdr:rowOff>152400</xdr:rowOff>
    </xdr:from>
    <xdr:to>
      <xdr:col>8</xdr:col>
      <xdr:colOff>510540</xdr:colOff>
      <xdr:row>28</xdr:row>
      <xdr:rowOff>68580</xdr:rowOff>
    </xdr:to>
    <xdr:sp macro="" textlink="'pivot report'!A6">
      <xdr:nvSpPr>
        <xdr:cNvPr id="44" name="TextBox 43">
          <a:extLst>
            <a:ext uri="{FF2B5EF4-FFF2-40B4-BE49-F238E27FC236}">
              <a16:creationId xmlns:a16="http://schemas.microsoft.com/office/drawing/2014/main" id="{D453EC0C-087F-403D-9D1C-ACFC92620288}"/>
            </a:ext>
          </a:extLst>
        </xdr:cNvPr>
        <xdr:cNvSpPr txBox="1"/>
      </xdr:nvSpPr>
      <xdr:spPr>
        <a:xfrm>
          <a:off x="3070860" y="4907280"/>
          <a:ext cx="2316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a:t>
          </a:r>
          <a:r>
            <a:rPr lang="en-IN" sz="1100" baseline="0"/>
            <a:t> of patient by Age Group</a:t>
          </a:r>
        </a:p>
        <a:p>
          <a:endParaRPr lang="en-IN" sz="1100"/>
        </a:p>
      </xdr:txBody>
    </xdr:sp>
    <xdr:clientData/>
  </xdr:twoCellAnchor>
  <xdr:twoCellAnchor>
    <xdr:from>
      <xdr:col>9</xdr:col>
      <xdr:colOff>457200</xdr:colOff>
      <xdr:row>2</xdr:row>
      <xdr:rowOff>137160</xdr:rowOff>
    </xdr:from>
    <xdr:to>
      <xdr:col>12</xdr:col>
      <xdr:colOff>403860</xdr:colOff>
      <xdr:row>10</xdr:row>
      <xdr:rowOff>114300</xdr:rowOff>
    </xdr:to>
    <xdr:graphicFrame macro="">
      <xdr:nvGraphicFramePr>
        <xdr:cNvPr id="45" name="Chart 44">
          <a:extLst>
            <a:ext uri="{FF2B5EF4-FFF2-40B4-BE49-F238E27FC236}">
              <a16:creationId xmlns:a16="http://schemas.microsoft.com/office/drawing/2014/main" id="{AE49824E-3D29-4588-9F4F-3FE6FB0A0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22860</xdr:colOff>
      <xdr:row>9</xdr:row>
      <xdr:rowOff>38100</xdr:rowOff>
    </xdr:from>
    <xdr:to>
      <xdr:col>12</xdr:col>
      <xdr:colOff>335280</xdr:colOff>
      <xdr:row>10</xdr:row>
      <xdr:rowOff>137160</xdr:rowOff>
    </xdr:to>
    <xdr:sp macro="" textlink="'pivot report'!A6">
      <xdr:nvSpPr>
        <xdr:cNvPr id="46" name="TextBox 45">
          <a:extLst>
            <a:ext uri="{FF2B5EF4-FFF2-40B4-BE49-F238E27FC236}">
              <a16:creationId xmlns:a16="http://schemas.microsoft.com/office/drawing/2014/main" id="{A44FF49A-15EC-404D-80FD-9A7D00C2E8BA}"/>
            </a:ext>
          </a:extLst>
        </xdr:cNvPr>
        <xdr:cNvSpPr txBox="1"/>
      </xdr:nvSpPr>
      <xdr:spPr>
        <a:xfrm>
          <a:off x="6118860" y="1684020"/>
          <a:ext cx="15316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patient Attend Status</a:t>
          </a:r>
        </a:p>
        <a:p>
          <a:endParaRPr lang="en-IN" sz="1100"/>
        </a:p>
      </xdr:txBody>
    </xdr:sp>
    <xdr:clientData/>
  </xdr:twoCellAnchor>
  <xdr:twoCellAnchor>
    <xdr:from>
      <xdr:col>12</xdr:col>
      <xdr:colOff>68580</xdr:colOff>
      <xdr:row>3</xdr:row>
      <xdr:rowOff>15240</xdr:rowOff>
    </xdr:from>
    <xdr:to>
      <xdr:col>15</xdr:col>
      <xdr:colOff>0</xdr:colOff>
      <xdr:row>12</xdr:row>
      <xdr:rowOff>30480</xdr:rowOff>
    </xdr:to>
    <xdr:graphicFrame macro="">
      <xdr:nvGraphicFramePr>
        <xdr:cNvPr id="47" name="Chart 46">
          <a:extLst>
            <a:ext uri="{FF2B5EF4-FFF2-40B4-BE49-F238E27FC236}">
              <a16:creationId xmlns:a16="http://schemas.microsoft.com/office/drawing/2014/main" id="{573AAAB9-837D-4307-B17F-286215874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60960</xdr:colOff>
      <xdr:row>11</xdr:row>
      <xdr:rowOff>38100</xdr:rowOff>
    </xdr:from>
    <xdr:to>
      <xdr:col>14</xdr:col>
      <xdr:colOff>335280</xdr:colOff>
      <xdr:row>27</xdr:row>
      <xdr:rowOff>99060</xdr:rowOff>
    </xdr:to>
    <xdr:graphicFrame macro="">
      <xdr:nvGraphicFramePr>
        <xdr:cNvPr id="48" name="Chart 47">
          <a:extLst>
            <a:ext uri="{FF2B5EF4-FFF2-40B4-BE49-F238E27FC236}">
              <a16:creationId xmlns:a16="http://schemas.microsoft.com/office/drawing/2014/main" id="{C969266F-6931-4FE2-9574-E62FE7FAE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7</xdr:col>
      <xdr:colOff>579120</xdr:colOff>
      <xdr:row>3</xdr:row>
      <xdr:rowOff>129540</xdr:rowOff>
    </xdr:from>
    <xdr:to>
      <xdr:col>9</xdr:col>
      <xdr:colOff>594360</xdr:colOff>
      <xdr:row>5</xdr:row>
      <xdr:rowOff>160020</xdr:rowOff>
    </xdr:to>
    <mc:AlternateContent xmlns:mc="http://schemas.openxmlformats.org/markup-compatibility/2006" xmlns:a14="http://schemas.microsoft.com/office/drawing/2010/main">
      <mc:Choice Requires="a14">
        <xdr:graphicFrame macro="">
          <xdr:nvGraphicFramePr>
            <xdr:cNvPr id="49" name="Date (Year)">
              <a:extLst>
                <a:ext uri="{FF2B5EF4-FFF2-40B4-BE49-F238E27FC236}">
                  <a16:creationId xmlns:a16="http://schemas.microsoft.com/office/drawing/2014/main" id="{EF86B4D2-A802-44D4-9E4B-2B46C6E9AA2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846320" y="678180"/>
              <a:ext cx="1234440" cy="396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0.07724</cdr:x>
      <cdr:y>0.68373</cdr:y>
    </cdr:from>
    <cdr:to>
      <cdr:x>1</cdr:x>
      <cdr:y>0.86966</cdr:y>
    </cdr:to>
    <cdr:sp macro="" textlink="">
      <cdr:nvSpPr>
        <cdr:cNvPr id="2" name="TextBox 45">
          <a:extLst xmlns:a="http://schemas.openxmlformats.org/drawingml/2006/main">
            <a:ext uri="{FF2B5EF4-FFF2-40B4-BE49-F238E27FC236}">
              <a16:creationId xmlns:a16="http://schemas.microsoft.com/office/drawing/2014/main" id="{A44FF49A-15EC-404D-80FD-9A7D00C2E8BA}"/>
            </a:ext>
          </a:extLst>
        </cdr:cNvPr>
        <cdr:cNvSpPr txBox="1"/>
      </cdr:nvSpPr>
      <cdr:spPr>
        <a:xfrm xmlns:a="http://schemas.openxmlformats.org/drawingml/2006/main">
          <a:off x="117714" y="1135777"/>
          <a:ext cx="1406286" cy="30886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50" baseline="0"/>
            <a:t>Gender Wised Analysis</a:t>
          </a:r>
        </a:p>
        <a:p xmlns:a="http://schemas.openxmlformats.org/drawingml/2006/main">
          <a:endParaRPr lang="en-IN" sz="1100"/>
        </a:p>
      </cdr:txBody>
    </cdr:sp>
  </cdr:relSizeAnchor>
</c:userShapes>
</file>

<file path=xl/drawings/drawing4.xml><?xml version="1.0" encoding="utf-8"?>
<c:userShapes xmlns:c="http://schemas.openxmlformats.org/drawingml/2006/chart">
  <cdr:relSizeAnchor xmlns:cdr="http://schemas.openxmlformats.org/drawingml/2006/chartDrawing">
    <cdr:from>
      <cdr:x>0.16237</cdr:x>
      <cdr:y>0.90561</cdr:y>
    </cdr:from>
    <cdr:to>
      <cdr:x>0.9341</cdr:x>
      <cdr:y>1</cdr:y>
    </cdr:to>
    <cdr:sp macro="" textlink="">
      <cdr:nvSpPr>
        <cdr:cNvPr id="2" name="TextBox 45">
          <a:extLst xmlns:a="http://schemas.openxmlformats.org/drawingml/2006/main">
            <a:ext uri="{FF2B5EF4-FFF2-40B4-BE49-F238E27FC236}">
              <a16:creationId xmlns:a16="http://schemas.microsoft.com/office/drawing/2014/main" id="{A44FF49A-15EC-404D-80FD-9A7D00C2E8BA}"/>
            </a:ext>
          </a:extLst>
        </cdr:cNvPr>
        <cdr:cNvSpPr txBox="1"/>
      </cdr:nvSpPr>
      <cdr:spPr>
        <a:xfrm xmlns:a="http://schemas.openxmlformats.org/drawingml/2006/main">
          <a:off x="431800" y="2705100"/>
          <a:ext cx="2052320" cy="28194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baseline="0"/>
            <a:t>No. Patient Department Referal</a:t>
          </a:r>
        </a:p>
        <a:p xmlns:a="http://schemas.openxmlformats.org/drawingml/2006/main">
          <a:endParaRPr lang="en-IN" sz="1100"/>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7620</xdr:colOff>
      <xdr:row>1</xdr:row>
      <xdr:rowOff>167640</xdr:rowOff>
    </xdr:from>
    <xdr:to>
      <xdr:col>15</xdr:col>
      <xdr:colOff>586740</xdr:colOff>
      <xdr:row>26</xdr:row>
      <xdr:rowOff>60960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ADA703A9-B4D4-444C-ADC4-E1855BFA1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0.00557</cdr:x>
      <cdr:y>0.01138</cdr:y>
    </cdr:from>
    <cdr:to>
      <cdr:x>0.06996</cdr:x>
      <cdr:y>0.14278</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6A24A86-E34D-9222-37FF-870E7FF18A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86740" cy="5867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274320</xdr:colOff>
      <xdr:row>2</xdr:row>
      <xdr:rowOff>30480</xdr:rowOff>
    </xdr:from>
    <xdr:to>
      <xdr:col>18</xdr:col>
      <xdr:colOff>281940</xdr:colOff>
      <xdr:row>27</xdr:row>
      <xdr:rowOff>68580</xdr:rowOff>
    </xdr:to>
    <xdr:graphicFrame macro="">
      <xdr:nvGraphicFramePr>
        <xdr:cNvPr id="2" name="Chart 1">
          <a:extLst>
            <a:ext uri="{FF2B5EF4-FFF2-40B4-BE49-F238E27FC236}">
              <a16:creationId xmlns:a16="http://schemas.microsoft.com/office/drawing/2014/main" id="{4E4D652C-0792-425F-A74C-4583EF20B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0.0049</cdr:x>
      <cdr:y>0.01102</cdr:y>
    </cdr:from>
    <cdr:to>
      <cdr:x>0.06147</cdr:x>
      <cdr:y>0.13829</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F1007C9-DD46-3CFE-C745-4D662FA6191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86740" cy="58674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480060</xdr:colOff>
      <xdr:row>1</xdr:row>
      <xdr:rowOff>106680</xdr:rowOff>
    </xdr:from>
    <xdr:to>
      <xdr:col>16</xdr:col>
      <xdr:colOff>106680</xdr:colOff>
      <xdr:row>26</xdr:row>
      <xdr:rowOff>106680</xdr:rowOff>
    </xdr:to>
    <xdr:graphicFrame macro="">
      <xdr:nvGraphicFramePr>
        <xdr:cNvPr id="2" name="Chart 1">
          <a:extLst>
            <a:ext uri="{FF2B5EF4-FFF2-40B4-BE49-F238E27FC236}">
              <a16:creationId xmlns:a16="http://schemas.microsoft.com/office/drawing/2014/main" id="{BBB62C41-3B76-46E5-A66C-EFD0927A5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cdr:x>
      <cdr:y>0</cdr:y>
    </cdr:from>
    <cdr:to>
      <cdr:x>0.06255</cdr:x>
      <cdr:y>0.12833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2ABAE39-AE5C-CECC-6A02-6CDF8A7893F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86740" cy="5867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87962964" createdVersion="5" refreshedVersion="8" minRefreshableVersion="3" recordCount="0" supportSubquery="1" supportAdvancedDrill="1" xr:uid="{5B1B4DEB-024C-461F-9747-CB1003BA123D}">
  <cacheSource type="external" connectionId="4"/>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88078702" createdVersion="5" refreshedVersion="8" minRefreshableVersion="3" recordCount="0" supportSubquery="1" supportAdvancedDrill="1" xr:uid="{00172E71-A03D-4415-8FC2-8068DE9E7D35}">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88425926" createdVersion="5" refreshedVersion="8" minRefreshableVersion="3" recordCount="0" supportSubquery="1" supportAdvancedDrill="1" xr:uid="{B05F0DC8-79E2-4308-9E04-64972F27B7F0}">
  <cacheSource type="external" connectionId="4"/>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88888888" createdVersion="5" refreshedVersion="8" minRefreshableVersion="3" recordCount="0" supportSubquery="1" supportAdvancedDrill="1" xr:uid="{1E748BD8-FC12-43CF-AAF3-DA74A10D1298}">
  <cacheSource type="external" connectionId="4"/>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89004626" createdVersion="5" refreshedVersion="8" minRefreshableVersion="3" recordCount="0" supportSubquery="1" supportAdvancedDrill="1" xr:uid="{4E48A31C-8CA1-4BEC-B646-54AF75842469}">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89236111" createdVersion="5" refreshedVersion="8" minRefreshableVersion="3" recordCount="0" supportSubquery="1" supportAdvancedDrill="1" xr:uid="{46EB4EEB-E209-4042-A7F3-D1DE16E5ED49}">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89583334" createdVersion="5" refreshedVersion="8" minRefreshableVersion="3" recordCount="0" supportSubquery="1" supportAdvancedDrill="1" xr:uid="{7E555EF2-248D-4C28-A67F-EC6AAFC6E6CC}">
  <cacheSource type="external" connectionId="4"/>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89930557" createdVersion="5" refreshedVersion="8" minRefreshableVersion="3" recordCount="0" supportSubquery="1" supportAdvancedDrill="1" xr:uid="{B7E0AB11-C15B-426E-A729-D047EB0DEFF0}">
  <cacheSource type="external" connectionId="4"/>
  <cacheFields count="4">
    <cacheField name="[Measures].[Average of Patient Waittime]" caption="Average of Patient Waittime" numFmtId="0" hierarchy="26"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90393519" createdVersion="5" refreshedVersion="8" minRefreshableVersion="3" recordCount="0" supportSubquery="1" supportAdvancedDrill="1" xr:uid="{352BBD51-EC09-492F-BB45-0D715065D8A2}">
  <cacheSource type="external" connectionId="4"/>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90624997" createdVersion="5" refreshedVersion="8" minRefreshableVersion="3" recordCount="0" supportSubquery="1" supportAdvancedDrill="1" xr:uid="{7FBEEE54-517C-4DD9-A872-C36D4D951D4C}">
  <cacheSource type="external" connectionId="4"/>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91087966" createdVersion="5" refreshedVersion="8" minRefreshableVersion="3" recordCount="0" supportSubquery="1" supportAdvancedDrill="1" xr:uid="{2E08DD60-FFA5-4290-B39E-7763A8154654}">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8.999891435182" createdVersion="5" refreshedVersion="8" minRefreshableVersion="3" recordCount="0" supportSubquery="1" supportAdvancedDrill="1" xr:uid="{F41EE72F-64F5-48C6-BAEF-55863B08C892}">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Malik" refreshedDate="46285.608355555552" createdVersion="3" refreshedVersion="8" minRefreshableVersion="3" recordCount="0" supportSubquery="1" supportAdvancedDrill="1" xr:uid="{F86AF5F4-3830-40ED-8317-DFDA074E553C}">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771679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D61ADA-F440-480D-80D1-14E7E0A191C5}" name="PivotTable8" cacheId="189" applyNumberFormats="0" applyBorderFormats="0" applyFontFormats="0" applyPatternFormats="0" applyAlignmentFormats="0" applyWidthHeightFormats="1" dataCaption="Values" tag="6806d44b-dcb6-4f95-ae97-88fc327493db" updatedVersion="8" minRefreshableVersion="3" subtotalHiddenItems="1" itemPrintTitles="1" createdVersion="5" indent="0" outline="1" outlineData="1" multipleFieldFilters="0" chartFormat="37">
  <location ref="T20:U2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86">
      <pivotArea outline="0" collapsedLevelsAreSubtotals="1" fieldPosition="0"/>
    </format>
    <format dxfId="85">
      <pivotArea collapsedLevelsAreSubtotals="1" fieldPosition="0">
        <references count="1">
          <reference field="1" count="0"/>
        </references>
      </pivotArea>
    </format>
  </formats>
  <chartFormats count="1">
    <chartFormat chart="3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C393BD-DDFA-4846-ADC0-66C487F4EB92}" name="PivotTable4" cacheId="177" applyNumberFormats="0" applyBorderFormats="0" applyFontFormats="0" applyPatternFormats="0" applyAlignmentFormats="0" applyWidthHeightFormats="1" dataCaption="Values" tag="6806d44b-dcb6-4f95-ae97-88fc327493db" updatedVersion="8" minRefreshableVersion="3" subtotalHiddenItems="1" itemPrintTitles="1" createdVersion="5" indent="0" outline="1" outlineData="1" multipleFieldFilters="0" chartFormat="24">
  <location ref="C7:D3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2" subtotal="count" baseField="0" baseItem="0"/>
  </dataFields>
  <formats count="1">
    <format dxfId="87">
      <pivotArea outline="0" collapsedLevelsAreSubtotals="1" fieldPosition="0"/>
    </format>
  </formats>
  <chartFormats count="3">
    <chartFormat chart="6" format="5"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6F2728-2A9E-4D2F-A8ED-7018EBF4B753}" name="PivotTable6" cacheId="183" applyNumberFormats="0" applyBorderFormats="0" applyFontFormats="0" applyPatternFormats="0" applyAlignmentFormats="0" applyWidthHeightFormats="1" dataCaption="Values" tag="6806d44b-dcb6-4f95-ae97-88fc327493db" updatedVersion="8" minRefreshableVersion="3" subtotalHiddenItems="1" itemPrintTitles="1" createdVersion="5" indent="0" outline="1" outlineData="1" multipleFieldFilters="0" chartFormat="31">
  <location ref="O7:P3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88">
      <pivotArea outline="0" collapsedLevelsAreSubtotals="1" fieldPosition="0"/>
    </format>
  </formats>
  <chartFormats count="2">
    <chartFormat chart="27"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252B4C-FD8E-41A1-A124-95748EC6E949}" name="PivotTable12" cacheId="159" applyNumberFormats="0" applyBorderFormats="0" applyFontFormats="0" applyPatternFormats="0" applyAlignmentFormats="0" applyWidthHeightFormats="1" dataCaption="Values" tag="6806d44b-dcb6-4f95-ae97-88fc327493db" updatedVersion="8" minRefreshableVersion="3" subtotalHiddenItems="1" itemPrintTitles="1" createdVersion="5" indent="0" outline="1" outlineData="1" multipleFieldFilters="0" chartFormat="42">
  <location ref="AC21:AC2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89">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C894E0-1816-41CD-8D32-CD097BBF3C83}" name="PivotTable11" cacheId="168" applyNumberFormats="0" applyBorderFormats="0" applyFontFormats="0" applyPatternFormats="0" applyAlignmentFormats="0" applyWidthHeightFormats="1" dataCaption="Values" tag="6806d44b-dcb6-4f95-ae97-88fc327493db" updatedVersion="8" minRefreshableVersion="3" subtotalHiddenItems="1" itemPrintTitles="1" createdVersion="5" indent="0" outline="1" outlineData="1" multipleFieldFilters="0" chartFormat="50">
  <location ref="AC7:AD1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6"/>
    </i>
    <i>
      <x v="3"/>
    </i>
    <i>
      <x v="1"/>
    </i>
    <i>
      <x/>
    </i>
    <i>
      <x v="5"/>
    </i>
    <i>
      <x v="2"/>
    </i>
    <i>
      <x v="4"/>
    </i>
    <i t="grand">
      <x/>
    </i>
  </rowItems>
  <colItems count="1">
    <i/>
  </colItems>
  <dataFields count="1">
    <dataField name="Count of Department Referral" fld="1" subtotal="count" baseField="0" baseItem="0"/>
  </dataFields>
  <formats count="2">
    <format dxfId="91">
      <pivotArea outline="0" collapsedLevelsAreSubtotals="1" fieldPosition="0"/>
    </format>
    <format dxfId="90">
      <pivotArea collapsedLevelsAreSubtotals="1" fieldPosition="0">
        <references count="1">
          <reference field="2" count="0"/>
        </references>
      </pivotArea>
    </format>
  </formats>
  <chartFormats count="1">
    <chartFormat chart="4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DB14A9-6412-4AC3-9F2B-F708415997E7}" name="PivotTable7" cacheId="186" applyNumberFormats="0" applyBorderFormats="0" applyFontFormats="0" applyPatternFormats="0" applyAlignmentFormats="0" applyWidthHeightFormats="1" dataCaption="Values" tag="6806d44b-dcb6-4f95-ae97-88fc327493db" updatedVersion="8" minRefreshableVersion="3" subtotalHiddenItems="1" itemPrintTitles="1" createdVersion="5" indent="0" outline="1" outlineData="1" multipleFieldFilters="0" chartFormat="34">
  <location ref="S7:U1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95">
      <pivotArea outline="0" collapsedLevelsAreSubtotals="1" fieldPosition="0"/>
    </format>
    <format dxfId="94">
      <pivotArea collapsedLevelsAreSubtotals="1" fieldPosition="0">
        <references count="1">
          <reference field="1" count="1">
            <x v="0"/>
          </reference>
        </references>
      </pivotArea>
    </format>
    <format dxfId="93">
      <pivotArea collapsedLevelsAreSubtotals="1" fieldPosition="0">
        <references count="1">
          <reference field="1" count="1">
            <x v="1"/>
          </reference>
        </references>
      </pivotArea>
    </format>
    <format dxfId="92">
      <pivotArea outline="0" fieldPosition="0">
        <references count="1">
          <reference field="4294967294" count="1">
            <x v="1"/>
          </reference>
        </references>
      </pivotArea>
    </format>
  </formats>
  <chartFormats count="4">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1" format="2">
      <pivotArea type="data" outline="0" fieldPosition="0">
        <references count="2">
          <reference field="4294967294" count="1" selected="0">
            <x v="0"/>
          </reference>
          <reference field="1" count="1" selected="0">
            <x v="0"/>
          </reference>
        </references>
      </pivotArea>
    </chartFormat>
    <chartFormat chart="31"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17CC33-39D4-4523-A14F-EFDB9A29524E}" name="PivotTable3" cacheId="174" applyNumberFormats="0" applyBorderFormats="0" applyFontFormats="0" applyPatternFormats="0" applyAlignmentFormats="0" applyWidthHeightFormats="1" dataCaption="Values" tag="3fa4049a-3177-4b60-ac2c-1b6e1629c973" updatedVersion="8" minRefreshableVersion="3" subtotalHiddenItems="1" itemPrintTitles="1" createdVersion="5" indent="0" outline="1" outlineData="1" multipleFieldFilters="0">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6">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4798B1-1B27-4BCA-8E44-B9B48BBDA876}" name="PivotTable10" cacheId="165" applyNumberFormats="0" applyBorderFormats="0" applyFontFormats="0" applyPatternFormats="0" applyAlignmentFormats="0" applyWidthHeightFormats="1" dataCaption="Values" tag="6806d44b-dcb6-4f95-ae97-88fc327493db" updatedVersion="8" minRefreshableVersion="3" subtotalHiddenItems="1" itemPrintTitles="1" createdVersion="5" indent="0" outline="1" outlineData="1" multipleFieldFilters="0" chartFormat="47">
  <location ref="X7:Y1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97">
      <pivotArea outline="0" collapsedLevelsAreSubtotals="1" fieldPosition="0"/>
    </format>
  </formats>
  <chartFormats count="3">
    <chartFormat chart="45" format="4" series="1">
      <pivotArea type="data" outline="0" fieldPosition="0">
        <references count="1">
          <reference field="4294967294" count="1" selected="0">
            <x v="0"/>
          </reference>
        </references>
      </pivotArea>
    </chartFormat>
    <chartFormat chart="45" format="5">
      <pivotArea type="data" outline="0" fieldPosition="0">
        <references count="2">
          <reference field="4294967294" count="1" selected="0">
            <x v="0"/>
          </reference>
          <reference field="2" count="1" selected="0">
            <x v="0"/>
          </reference>
        </references>
      </pivotArea>
    </chartFormat>
    <chartFormat chart="45"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F1E8FC-C66F-4A8F-A8A0-63AEDE1AF7CD}" name="PivotTable5" cacheId="180" applyNumberFormats="0" applyBorderFormats="0" applyFontFormats="0" applyPatternFormats="0" applyAlignmentFormats="0" applyWidthHeightFormats="1" dataCaption="Values" tag="6806d44b-dcb6-4f95-ae97-88fc327493db" updatedVersion="8" minRefreshableVersion="3" subtotalHiddenItems="1" itemPrintTitles="1" createdVersion="5" indent="0" outline="1" outlineData="1" multipleFieldFilters="0" chartFormat="25">
  <location ref="K7:L38"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0" subtotal="average" baseField="0" baseItem="0" numFmtId="2"/>
  </dataFields>
  <formats count="1">
    <format dxfId="9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87603B-B697-4580-B343-B3ABACFDAECC}" name="PivotTable2" cacheId="171" applyNumberFormats="0" applyBorderFormats="0" applyFontFormats="0" applyPatternFormats="0" applyAlignmentFormats="0" applyWidthHeightFormats="1" dataCaption="Values" tag="6806d44b-dcb6-4f95-ae97-88fc327493db"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9">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0F9A5E-F305-4DC9-9C03-898293C9D51A}" name="PivotTable9" cacheId="192" applyNumberFormats="0" applyBorderFormats="0" applyFontFormats="0" applyPatternFormats="0" applyAlignmentFormats="0" applyWidthHeightFormats="1" dataCaption="Values" tag="6806d44b-dcb6-4f95-ae97-88fc327493db" updatedVersion="8" minRefreshableVersion="3" subtotalHiddenItems="1" itemPrintTitles="1" createdVersion="5" indent="0" outline="1" outlineData="1" multipleFieldFilters="0" chartFormat="42">
  <location ref="W20:X2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01">
      <pivotArea outline="0" collapsedLevelsAreSubtotals="1" fieldPosition="0"/>
    </format>
    <format dxfId="100">
      <pivotArea collapsedLevelsAreSubtotals="1" fieldPosition="0">
        <references count="1">
          <reference field="1" count="0"/>
        </references>
      </pivotArea>
    </format>
  </formats>
  <chartFormats count="3">
    <chartFormat chart="39" format="4" series="1">
      <pivotArea type="data" outline="0" fieldPosition="0">
        <references count="1">
          <reference field="4294967294" count="1" selected="0">
            <x v="0"/>
          </reference>
        </references>
      </pivotArea>
    </chartFormat>
    <chartFormat chart="39" format="5">
      <pivotArea type="data" outline="0" fieldPosition="0">
        <references count="2">
          <reference field="4294967294" count="1" selected="0">
            <x v="0"/>
          </reference>
          <reference field="1" count="1" selected="0">
            <x v="0"/>
          </reference>
        </references>
      </pivotArea>
    </chartFormat>
    <chartFormat chart="3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42CBAE-F218-43E3-8B5F-1689E249A030}" name="PivotTable1" cacheId="162" applyNumberFormats="0" applyBorderFormats="0" applyFontFormats="0" applyPatternFormats="0" applyAlignmentFormats="0" applyWidthHeightFormats="1" dataCaption="Values" tag="cd9fd695-b475-4dba-9c18-41587f339ef7"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40630FF-39AE-4C07-B526-77CA446710B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09A2B6D-2DD6-4E08-9D6D-21CD9122854B}"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97716793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2D4ED37-FDD0-419F-93AD-66C3DDAD62D2}"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97716793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F6F1A9B-D77F-4FD4-B8A6-C97A2A99990F}" cache="Slicer_Date__Month" caption="Date (Month)" showCaption="0" level="1" style="mystyle" rowHeight="273600"/>
  <slicer name="Date (Year)" xr10:uid="{E05662E5-9329-4136-BCB1-F706162B5995}" cache="Slicer_Date__Year" caption="Date (Year)" columnCount="2" showCaption="0" level="1" style="my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4D78E8-31AF-4364-B05C-3D8381F9FE5E}" name="Table_ExternalData_1" displayName="Table_ExternalData_1" ref="A3:M17" tableType="queryTable" totalsRowShown="0">
  <autoFilter ref="A3:M17" xr:uid="{FB4D78E8-31AF-4364-B05C-3D8381F9FE5E}"/>
  <tableColumns count="13">
    <tableColumn id="1" xr3:uid="{556881A7-F3B3-45C0-90E0-4AD1A8FA565F}" uniqueName="1" name="Hospital Emergency Room Data[Patient Id]" queryTableFieldId="1"/>
    <tableColumn id="2" xr3:uid="{950F22DD-B236-4091-B37A-5E3D655EA06E}" uniqueName="2" name="Hospital Emergency Room Data[Patient Admission Date]" queryTableFieldId="2" dataDxfId="103"/>
    <tableColumn id="3" xr3:uid="{F1D89924-5E65-4F44-9B2B-98D10FF2F61C}" uniqueName="3" name="Hospital Emergency Room Data[Patient Admission Time]" queryTableFieldId="3" dataDxfId="102"/>
    <tableColumn id="4" xr3:uid="{99FCE269-85BA-47CF-A478-73A24BBCC814}" uniqueName="4" name="Hospital Emergency Room Data[Merged]" queryTableFieldId="4"/>
    <tableColumn id="5" xr3:uid="{E895725B-C297-4E17-9029-D76F497A77CA}" uniqueName="5" name="Hospital Emergency Room Data[Patient Gender]" queryTableFieldId="5"/>
    <tableColumn id="6" xr3:uid="{EC3F41C6-5EF5-46B0-B1C8-C9D6F09AD5CA}" uniqueName="6" name="Hospital Emergency Room Data[Patient Age]" queryTableFieldId="6"/>
    <tableColumn id="7" xr3:uid="{0855FAB1-3806-42ED-89FF-4ECD01ED01C3}" uniqueName="7" name="Hospital Emergency Room Data[Patient Race]" queryTableFieldId="7"/>
    <tableColumn id="8" xr3:uid="{8A8A2978-8884-4041-A459-535C1DDB0C14}" uniqueName="8" name="Hospital Emergency Room Data[Department Referral]" queryTableFieldId="8"/>
    <tableColumn id="9" xr3:uid="{B05DB309-8865-4556-B224-3FCBD6EE745D}" uniqueName="9" name="Hospital Emergency Room Data[Patient Admission Flag]" queryTableFieldId="9"/>
    <tableColumn id="10" xr3:uid="{8E743D46-62D5-470B-BA36-AE9D4569C0A1}" uniqueName="10" name="Hospital Emergency Room Data[Patient Satisfaction Score]" queryTableFieldId="10"/>
    <tableColumn id="11" xr3:uid="{501C48A0-FE2D-45DD-9EDE-78F12A3005ED}" uniqueName="11" name="Hospital Emergency Room Data[Patient Waittime]" queryTableFieldId="11"/>
    <tableColumn id="12" xr3:uid="{CAD4DDB2-CE3F-486A-A72D-FB2B123B2699}" uniqueName="12" name="Hospital Emergency Room Data[Age Group]" queryTableFieldId="12"/>
    <tableColumn id="13" xr3:uid="{EF4B4BC6-9FF5-4C6C-99A6-EAE0DC0DD80F}"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19F7B-4182-46F9-8854-3F34E4086690}">
  <dimension ref="A1:M17"/>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33203125" bestFit="1" customWidth="1"/>
  </cols>
  <sheetData>
    <row r="1" spans="1:13" x14ac:dyDescent="0.3">
      <c r="A1" s="14" t="s">
        <v>92</v>
      </c>
    </row>
    <row r="3" spans="1:13" x14ac:dyDescent="0.3">
      <c r="A3" t="s">
        <v>45</v>
      </c>
      <c r="B3" t="s">
        <v>46</v>
      </c>
      <c r="C3" t="s">
        <v>47</v>
      </c>
      <c r="D3" t="s">
        <v>48</v>
      </c>
      <c r="E3" t="s">
        <v>49</v>
      </c>
      <c r="F3" t="s">
        <v>50</v>
      </c>
      <c r="G3" t="s">
        <v>51</v>
      </c>
      <c r="H3" t="s">
        <v>52</v>
      </c>
      <c r="I3" t="s">
        <v>53</v>
      </c>
      <c r="J3" t="s">
        <v>54</v>
      </c>
      <c r="K3" t="s">
        <v>55</v>
      </c>
      <c r="L3" t="s">
        <v>56</v>
      </c>
      <c r="M3" t="s">
        <v>57</v>
      </c>
    </row>
    <row r="4" spans="1:13" x14ac:dyDescent="0.3">
      <c r="A4" t="s">
        <v>58</v>
      </c>
      <c r="B4" s="12">
        <v>45304</v>
      </c>
      <c r="C4" s="13">
        <v>0.95486111111111116</v>
      </c>
      <c r="D4" t="s">
        <v>59</v>
      </c>
      <c r="E4" t="s">
        <v>33</v>
      </c>
      <c r="F4">
        <v>32</v>
      </c>
      <c r="G4" t="s">
        <v>60</v>
      </c>
      <c r="H4" t="s">
        <v>37</v>
      </c>
      <c r="I4" t="s">
        <v>12</v>
      </c>
      <c r="K4">
        <v>35</v>
      </c>
      <c r="L4" t="s">
        <v>21</v>
      </c>
      <c r="M4" t="s">
        <v>28</v>
      </c>
    </row>
    <row r="5" spans="1:13" x14ac:dyDescent="0.3">
      <c r="A5" t="s">
        <v>61</v>
      </c>
      <c r="B5" s="12">
        <v>45299</v>
      </c>
      <c r="C5" s="13">
        <v>0.73333333333333328</v>
      </c>
      <c r="D5" t="s">
        <v>62</v>
      </c>
      <c r="E5" t="s">
        <v>33</v>
      </c>
      <c r="F5">
        <v>28</v>
      </c>
      <c r="G5" t="s">
        <v>63</v>
      </c>
      <c r="H5" t="s">
        <v>37</v>
      </c>
      <c r="I5" t="s">
        <v>12</v>
      </c>
      <c r="K5">
        <v>18</v>
      </c>
      <c r="L5" t="s">
        <v>20</v>
      </c>
      <c r="M5" t="s">
        <v>29</v>
      </c>
    </row>
    <row r="6" spans="1:13" x14ac:dyDescent="0.3">
      <c r="A6" t="s">
        <v>64</v>
      </c>
      <c r="B6" s="12">
        <v>45292</v>
      </c>
      <c r="C6" s="13">
        <v>0.95902777777777781</v>
      </c>
      <c r="D6" t="s">
        <v>65</v>
      </c>
      <c r="E6" t="s">
        <v>34</v>
      </c>
      <c r="F6">
        <v>19</v>
      </c>
      <c r="G6" t="s">
        <v>66</v>
      </c>
      <c r="H6" t="s">
        <v>37</v>
      </c>
      <c r="I6" t="s">
        <v>12</v>
      </c>
      <c r="K6">
        <v>34</v>
      </c>
      <c r="L6" t="s">
        <v>19</v>
      </c>
      <c r="M6" t="s">
        <v>28</v>
      </c>
    </row>
    <row r="7" spans="1:13" x14ac:dyDescent="0.3">
      <c r="A7" t="s">
        <v>67</v>
      </c>
      <c r="B7" s="12">
        <v>45316</v>
      </c>
      <c r="C7" s="13">
        <v>0.14166666666666666</v>
      </c>
      <c r="D7" t="s">
        <v>68</v>
      </c>
      <c r="E7" t="s">
        <v>33</v>
      </c>
      <c r="F7">
        <v>15</v>
      </c>
      <c r="G7" t="s">
        <v>63</v>
      </c>
      <c r="H7" t="s">
        <v>37</v>
      </c>
      <c r="I7" t="s">
        <v>11</v>
      </c>
      <c r="K7">
        <v>24</v>
      </c>
      <c r="L7" t="s">
        <v>19</v>
      </c>
      <c r="M7" t="s">
        <v>29</v>
      </c>
    </row>
    <row r="8" spans="1:13" x14ac:dyDescent="0.3">
      <c r="A8" t="s">
        <v>69</v>
      </c>
      <c r="B8" s="12">
        <v>45312</v>
      </c>
      <c r="C8" s="13">
        <v>0.93263888888888891</v>
      </c>
      <c r="D8" t="s">
        <v>70</v>
      </c>
      <c r="E8" t="s">
        <v>33</v>
      </c>
      <c r="F8">
        <v>69</v>
      </c>
      <c r="G8" t="s">
        <v>63</v>
      </c>
      <c r="H8" t="s">
        <v>37</v>
      </c>
      <c r="I8" t="s">
        <v>11</v>
      </c>
      <c r="K8">
        <v>37</v>
      </c>
      <c r="L8" t="s">
        <v>24</v>
      </c>
      <c r="M8" t="s">
        <v>28</v>
      </c>
    </row>
    <row r="9" spans="1:13" x14ac:dyDescent="0.3">
      <c r="A9" t="s">
        <v>71</v>
      </c>
      <c r="B9" s="12">
        <v>45292</v>
      </c>
      <c r="C9" s="13">
        <v>0.875</v>
      </c>
      <c r="D9" t="s">
        <v>72</v>
      </c>
      <c r="E9" t="s">
        <v>33</v>
      </c>
      <c r="F9">
        <v>63</v>
      </c>
      <c r="G9" t="s">
        <v>73</v>
      </c>
      <c r="H9" t="s">
        <v>37</v>
      </c>
      <c r="I9" t="s">
        <v>11</v>
      </c>
      <c r="K9">
        <v>36</v>
      </c>
      <c r="L9" t="s">
        <v>24</v>
      </c>
      <c r="M9" t="s">
        <v>28</v>
      </c>
    </row>
    <row r="10" spans="1:13" x14ac:dyDescent="0.3">
      <c r="A10" t="s">
        <v>74</v>
      </c>
      <c r="B10" s="12">
        <v>45316</v>
      </c>
      <c r="C10" s="13">
        <v>8.7499999999999994E-2</v>
      </c>
      <c r="D10" t="s">
        <v>75</v>
      </c>
      <c r="E10" t="s">
        <v>34</v>
      </c>
      <c r="F10">
        <v>40</v>
      </c>
      <c r="G10" t="s">
        <v>63</v>
      </c>
      <c r="H10" t="s">
        <v>37</v>
      </c>
      <c r="I10" t="s">
        <v>11</v>
      </c>
      <c r="K10">
        <v>10</v>
      </c>
      <c r="L10" t="s">
        <v>21</v>
      </c>
      <c r="M10" t="s">
        <v>29</v>
      </c>
    </row>
    <row r="11" spans="1:13" x14ac:dyDescent="0.3">
      <c r="A11" t="s">
        <v>76</v>
      </c>
      <c r="B11" s="12">
        <v>45301</v>
      </c>
      <c r="C11" s="13">
        <v>0.84444444444444444</v>
      </c>
      <c r="D11" t="s">
        <v>77</v>
      </c>
      <c r="E11" t="s">
        <v>34</v>
      </c>
      <c r="F11">
        <v>30</v>
      </c>
      <c r="G11" t="s">
        <v>78</v>
      </c>
      <c r="H11" t="s">
        <v>37</v>
      </c>
      <c r="I11" t="s">
        <v>11</v>
      </c>
      <c r="K11">
        <v>53</v>
      </c>
      <c r="L11" t="s">
        <v>20</v>
      </c>
      <c r="M11" t="s">
        <v>28</v>
      </c>
    </row>
    <row r="12" spans="1:13" x14ac:dyDescent="0.3">
      <c r="A12" t="s">
        <v>79</v>
      </c>
      <c r="B12" s="12">
        <v>45305</v>
      </c>
      <c r="C12" s="13">
        <v>0.35347222222222224</v>
      </c>
      <c r="D12" t="s">
        <v>80</v>
      </c>
      <c r="E12" t="s">
        <v>34</v>
      </c>
      <c r="F12">
        <v>20</v>
      </c>
      <c r="G12" t="s">
        <v>66</v>
      </c>
      <c r="H12" t="s">
        <v>37</v>
      </c>
      <c r="I12" t="s">
        <v>11</v>
      </c>
      <c r="K12">
        <v>30</v>
      </c>
      <c r="L12" t="s">
        <v>19</v>
      </c>
      <c r="M12" t="s">
        <v>29</v>
      </c>
    </row>
    <row r="13" spans="1:13" x14ac:dyDescent="0.3">
      <c r="A13" t="s">
        <v>81</v>
      </c>
      <c r="B13" s="12">
        <v>45299</v>
      </c>
      <c r="C13" s="13">
        <v>0.8305555555555556</v>
      </c>
      <c r="D13" t="s">
        <v>82</v>
      </c>
      <c r="E13" t="s">
        <v>34</v>
      </c>
      <c r="F13">
        <v>69</v>
      </c>
      <c r="G13" t="s">
        <v>66</v>
      </c>
      <c r="H13" t="s">
        <v>37</v>
      </c>
      <c r="I13" t="s">
        <v>11</v>
      </c>
      <c r="K13">
        <v>34</v>
      </c>
      <c r="L13" t="s">
        <v>24</v>
      </c>
      <c r="M13" t="s">
        <v>28</v>
      </c>
    </row>
    <row r="14" spans="1:13" x14ac:dyDescent="0.3">
      <c r="A14" t="s">
        <v>83</v>
      </c>
      <c r="B14" s="12">
        <v>45303</v>
      </c>
      <c r="C14" s="13">
        <v>0.95972222222222225</v>
      </c>
      <c r="D14" t="s">
        <v>84</v>
      </c>
      <c r="E14" t="s">
        <v>33</v>
      </c>
      <c r="F14">
        <v>63</v>
      </c>
      <c r="G14" t="s">
        <v>85</v>
      </c>
      <c r="H14" t="s">
        <v>37</v>
      </c>
      <c r="I14" t="s">
        <v>11</v>
      </c>
      <c r="J14">
        <v>1</v>
      </c>
      <c r="K14">
        <v>45</v>
      </c>
      <c r="L14" t="s">
        <v>24</v>
      </c>
      <c r="M14" t="s">
        <v>28</v>
      </c>
    </row>
    <row r="15" spans="1:13" x14ac:dyDescent="0.3">
      <c r="A15" t="s">
        <v>86</v>
      </c>
      <c r="B15" s="12">
        <v>45308</v>
      </c>
      <c r="C15" s="13">
        <v>0.41041666666666665</v>
      </c>
      <c r="D15" t="s">
        <v>87</v>
      </c>
      <c r="E15" t="s">
        <v>34</v>
      </c>
      <c r="F15">
        <v>71</v>
      </c>
      <c r="G15" t="s">
        <v>78</v>
      </c>
      <c r="H15" t="s">
        <v>37</v>
      </c>
      <c r="I15" t="s">
        <v>11</v>
      </c>
      <c r="J15">
        <v>4</v>
      </c>
      <c r="K15">
        <v>55</v>
      </c>
      <c r="L15" t="s">
        <v>25</v>
      </c>
      <c r="M15" t="s">
        <v>28</v>
      </c>
    </row>
    <row r="16" spans="1:13" x14ac:dyDescent="0.3">
      <c r="A16" t="s">
        <v>88</v>
      </c>
      <c r="B16" s="12">
        <v>45306</v>
      </c>
      <c r="C16" s="13">
        <v>0.72083333333333333</v>
      </c>
      <c r="D16" t="s">
        <v>89</v>
      </c>
      <c r="E16" t="s">
        <v>33</v>
      </c>
      <c r="F16">
        <v>3</v>
      </c>
      <c r="G16" t="s">
        <v>66</v>
      </c>
      <c r="H16" t="s">
        <v>37</v>
      </c>
      <c r="I16" t="s">
        <v>11</v>
      </c>
      <c r="J16">
        <v>9</v>
      </c>
      <c r="K16">
        <v>11</v>
      </c>
      <c r="L16" t="s">
        <v>18</v>
      </c>
      <c r="M16" t="s">
        <v>29</v>
      </c>
    </row>
    <row r="17" spans="1:13" x14ac:dyDescent="0.3">
      <c r="A17" t="s">
        <v>90</v>
      </c>
      <c r="B17" s="12">
        <v>45296</v>
      </c>
      <c r="C17" s="13">
        <v>0.96388888888888891</v>
      </c>
      <c r="D17" t="s">
        <v>91</v>
      </c>
      <c r="E17" t="s">
        <v>34</v>
      </c>
      <c r="F17">
        <v>57</v>
      </c>
      <c r="G17" t="s">
        <v>66</v>
      </c>
      <c r="H17" t="s">
        <v>37</v>
      </c>
      <c r="I17" t="s">
        <v>11</v>
      </c>
      <c r="J17">
        <v>7</v>
      </c>
      <c r="K17">
        <v>17</v>
      </c>
      <c r="L17" t="s">
        <v>23</v>
      </c>
      <c r="M17"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FAE17-4413-4B92-8256-BDF22EA15733}">
  <dimension ref="A4:AD38"/>
  <sheetViews>
    <sheetView topLeftCell="W1" workbookViewId="0">
      <selection activeCell="AC21" sqref="AC21"/>
    </sheetView>
  </sheetViews>
  <sheetFormatPr defaultRowHeight="14.4" x14ac:dyDescent="0.3"/>
  <cols>
    <col min="1" max="1" width="38.44140625" customWidth="1"/>
    <col min="3" max="3" width="25.77734375" customWidth="1"/>
    <col min="4" max="4" width="18.33203125" customWidth="1"/>
    <col min="11" max="11" width="15.33203125" customWidth="1"/>
    <col min="12" max="12" width="28.77734375" customWidth="1"/>
    <col min="15" max="15" width="12.5546875" bestFit="1" customWidth="1"/>
    <col min="16" max="16" width="25" bestFit="1" customWidth="1"/>
    <col min="19" max="19" width="14.77734375" bestFit="1" customWidth="1"/>
    <col min="20" max="20" width="17.6640625" customWidth="1"/>
    <col min="21" max="21" width="29.109375" bestFit="1" customWidth="1"/>
    <col min="22" max="22" width="27.44140625" customWidth="1"/>
    <col min="23" max="23" width="12.5546875" bestFit="1" customWidth="1"/>
    <col min="24" max="24" width="17.88671875" bestFit="1" customWidth="1"/>
    <col min="29" max="29" width="16.88671875" customWidth="1"/>
    <col min="30" max="30" width="21.6640625" customWidth="1"/>
  </cols>
  <sheetData>
    <row r="4" spans="1:30" x14ac:dyDescent="0.3">
      <c r="A4" t="s">
        <v>1</v>
      </c>
    </row>
    <row r="5" spans="1:30" x14ac:dyDescent="0.3">
      <c r="A5" t="s">
        <v>0</v>
      </c>
      <c r="C5" t="s">
        <v>6</v>
      </c>
    </row>
    <row r="6" spans="1:30" ht="23.4" x14ac:dyDescent="0.45">
      <c r="A6" s="20">
        <v>485</v>
      </c>
      <c r="K6" t="s">
        <v>10</v>
      </c>
      <c r="X6" s="11" t="s">
        <v>35</v>
      </c>
      <c r="AC6" t="s">
        <v>93</v>
      </c>
    </row>
    <row r="7" spans="1:30" x14ac:dyDescent="0.3">
      <c r="C7" s="3" t="s">
        <v>5</v>
      </c>
      <c r="D7" t="s">
        <v>7</v>
      </c>
      <c r="K7" s="3" t="s">
        <v>5</v>
      </c>
      <c r="L7" t="s">
        <v>2</v>
      </c>
      <c r="O7" s="3" t="s">
        <v>5</v>
      </c>
      <c r="P7" t="s">
        <v>3</v>
      </c>
      <c r="S7" s="3" t="s">
        <v>5</v>
      </c>
      <c r="T7" t="s">
        <v>13</v>
      </c>
      <c r="U7" t="s">
        <v>14</v>
      </c>
      <c r="X7" s="3" t="s">
        <v>5</v>
      </c>
      <c r="Y7" t="s">
        <v>32</v>
      </c>
      <c r="AC7" s="3" t="s">
        <v>5</v>
      </c>
      <c r="AD7" t="s">
        <v>36</v>
      </c>
    </row>
    <row r="8" spans="1:30" x14ac:dyDescent="0.3">
      <c r="C8" s="4" t="s">
        <v>94</v>
      </c>
      <c r="D8" s="1">
        <v>17</v>
      </c>
      <c r="K8" s="4" t="s">
        <v>94</v>
      </c>
      <c r="L8" s="1">
        <v>33.352941176470587</v>
      </c>
      <c r="O8" s="4" t="s">
        <v>94</v>
      </c>
      <c r="P8" s="1">
        <v>4.75</v>
      </c>
      <c r="S8" s="4" t="s">
        <v>11</v>
      </c>
      <c r="T8" s="7">
        <v>235</v>
      </c>
      <c r="U8" s="8">
        <v>0.4845360824742268</v>
      </c>
      <c r="X8" s="4" t="s">
        <v>33</v>
      </c>
      <c r="Y8" s="1">
        <v>239</v>
      </c>
      <c r="AC8" s="4" t="s">
        <v>44</v>
      </c>
      <c r="AD8" s="7">
        <v>2</v>
      </c>
    </row>
    <row r="9" spans="1:30" x14ac:dyDescent="0.3">
      <c r="C9" s="4" t="s">
        <v>95</v>
      </c>
      <c r="D9" s="1">
        <v>10</v>
      </c>
      <c r="K9" s="4" t="s">
        <v>95</v>
      </c>
      <c r="L9" s="1">
        <v>38.4</v>
      </c>
      <c r="O9" s="4" t="s">
        <v>95</v>
      </c>
      <c r="P9" s="1">
        <v>5.2</v>
      </c>
      <c r="S9" s="4" t="s">
        <v>12</v>
      </c>
      <c r="T9" s="7">
        <v>250</v>
      </c>
      <c r="U9" s="8">
        <v>0.51546391752577314</v>
      </c>
      <c r="X9" s="4" t="s">
        <v>34</v>
      </c>
      <c r="Y9" s="1">
        <v>246</v>
      </c>
      <c r="AC9" s="4" t="s">
        <v>43</v>
      </c>
      <c r="AD9" s="7">
        <v>11</v>
      </c>
    </row>
    <row r="10" spans="1:30" x14ac:dyDescent="0.3">
      <c r="C10" s="4" t="s">
        <v>96</v>
      </c>
      <c r="D10" s="1">
        <v>23</v>
      </c>
      <c r="K10" s="4" t="s">
        <v>96</v>
      </c>
      <c r="L10" s="1">
        <v>38.521739130434781</v>
      </c>
      <c r="O10" s="4" t="s">
        <v>96</v>
      </c>
      <c r="P10" s="1">
        <v>3.375</v>
      </c>
      <c r="S10" s="4" t="s">
        <v>4</v>
      </c>
      <c r="T10" s="1">
        <v>485</v>
      </c>
      <c r="U10" s="8">
        <v>1</v>
      </c>
      <c r="X10" s="4" t="s">
        <v>4</v>
      </c>
      <c r="Y10" s="1">
        <v>485</v>
      </c>
      <c r="AC10" s="4" t="s">
        <v>40</v>
      </c>
      <c r="AD10" s="7">
        <v>12</v>
      </c>
    </row>
    <row r="11" spans="1:30" x14ac:dyDescent="0.3">
      <c r="C11" s="4" t="s">
        <v>97</v>
      </c>
      <c r="D11" s="1">
        <v>15</v>
      </c>
      <c r="K11" s="4" t="s">
        <v>97</v>
      </c>
      <c r="L11" s="1">
        <v>30.4</v>
      </c>
      <c r="O11" s="4" t="s">
        <v>97</v>
      </c>
      <c r="P11" s="1">
        <v>5.8</v>
      </c>
      <c r="AC11" s="4" t="s">
        <v>38</v>
      </c>
      <c r="AD11" s="7">
        <v>12</v>
      </c>
    </row>
    <row r="12" spans="1:30" x14ac:dyDescent="0.3">
      <c r="A12" t="s">
        <v>2</v>
      </c>
      <c r="C12" s="4" t="s">
        <v>98</v>
      </c>
      <c r="D12" s="1">
        <v>14</v>
      </c>
      <c r="K12" s="4" t="s">
        <v>98</v>
      </c>
      <c r="L12" s="1">
        <v>33.142857142857146</v>
      </c>
      <c r="O12" s="4" t="s">
        <v>98</v>
      </c>
      <c r="P12" s="1">
        <v>4.375</v>
      </c>
      <c r="AC12" s="4" t="s">
        <v>37</v>
      </c>
      <c r="AD12" s="7">
        <v>13</v>
      </c>
    </row>
    <row r="13" spans="1:30" x14ac:dyDescent="0.3">
      <c r="A13" s="1">
        <v>35.507216494845359</v>
      </c>
      <c r="C13" s="4" t="s">
        <v>99</v>
      </c>
      <c r="D13" s="1">
        <v>11</v>
      </c>
      <c r="K13" s="4" t="s">
        <v>99</v>
      </c>
      <c r="L13" s="1">
        <v>38.18181818181818</v>
      </c>
      <c r="O13" s="4" t="s">
        <v>99</v>
      </c>
      <c r="P13" s="1">
        <v>3</v>
      </c>
      <c r="S13" s="9" t="s">
        <v>15</v>
      </c>
      <c r="T13" s="9" t="s">
        <v>17</v>
      </c>
      <c r="U13" s="9" t="s">
        <v>16</v>
      </c>
      <c r="V13" s="9"/>
      <c r="AC13" s="4" t="s">
        <v>42</v>
      </c>
      <c r="AD13" s="7">
        <v>53</v>
      </c>
    </row>
    <row r="14" spans="1:30" x14ac:dyDescent="0.3">
      <c r="C14" s="4" t="s">
        <v>100</v>
      </c>
      <c r="D14" s="1">
        <v>15</v>
      </c>
      <c r="K14" s="4" t="s">
        <v>100</v>
      </c>
      <c r="L14" s="1">
        <v>39.733333333333334</v>
      </c>
      <c r="O14" s="4" t="s">
        <v>100</v>
      </c>
      <c r="P14" s="1">
        <v>5</v>
      </c>
      <c r="S14" s="6" t="str">
        <f>S9</f>
        <v>Not Admitted</v>
      </c>
      <c r="T14" s="6">
        <f>T9</f>
        <v>250</v>
      </c>
      <c r="U14" s="10">
        <f>U9</f>
        <v>0.51546391752577314</v>
      </c>
      <c r="V14" s="6"/>
      <c r="AC14" s="4" t="s">
        <v>39</v>
      </c>
      <c r="AD14" s="7">
        <v>91</v>
      </c>
    </row>
    <row r="15" spans="1:30" x14ac:dyDescent="0.3">
      <c r="C15" s="4" t="s">
        <v>101</v>
      </c>
      <c r="D15" s="1">
        <v>20</v>
      </c>
      <c r="K15" s="4" t="s">
        <v>101</v>
      </c>
      <c r="L15" s="1">
        <v>37</v>
      </c>
      <c r="O15" s="4" t="s">
        <v>101</v>
      </c>
      <c r="P15" s="1">
        <v>3</v>
      </c>
      <c r="S15" s="6" t="str">
        <f>S8</f>
        <v>Admitted</v>
      </c>
      <c r="T15" s="6">
        <f>T8</f>
        <v>235</v>
      </c>
      <c r="U15" s="10">
        <f>U8</f>
        <v>0.4845360824742268</v>
      </c>
      <c r="V15" s="6"/>
      <c r="AC15" s="4" t="s">
        <v>41</v>
      </c>
      <c r="AD15" s="7">
        <v>291</v>
      </c>
    </row>
    <row r="16" spans="1:30" x14ac:dyDescent="0.3">
      <c r="C16" s="4" t="s">
        <v>102</v>
      </c>
      <c r="D16" s="1">
        <v>21</v>
      </c>
      <c r="K16" s="4" t="s">
        <v>102</v>
      </c>
      <c r="L16" s="1">
        <v>35.61904761904762</v>
      </c>
      <c r="O16" s="4" t="s">
        <v>102</v>
      </c>
      <c r="P16" s="1">
        <v>4.9090909090909092</v>
      </c>
      <c r="AC16" s="4" t="s">
        <v>4</v>
      </c>
      <c r="AD16" s="1">
        <v>485</v>
      </c>
    </row>
    <row r="17" spans="1:29" x14ac:dyDescent="0.3">
      <c r="C17" s="4" t="s">
        <v>103</v>
      </c>
      <c r="D17" s="1">
        <v>17</v>
      </c>
      <c r="K17" s="4" t="s">
        <v>103</v>
      </c>
      <c r="L17" s="1">
        <v>34.176470588235297</v>
      </c>
      <c r="O17" s="4" t="s">
        <v>103</v>
      </c>
      <c r="P17" s="1">
        <v>3.8333333333333335</v>
      </c>
    </row>
    <row r="18" spans="1:29" x14ac:dyDescent="0.3">
      <c r="A18" t="s">
        <v>3</v>
      </c>
      <c r="C18" s="4" t="s">
        <v>104</v>
      </c>
      <c r="D18" s="1">
        <v>17</v>
      </c>
      <c r="K18" s="4" t="s">
        <v>104</v>
      </c>
      <c r="L18" s="1">
        <v>37.176470588235297</v>
      </c>
      <c r="O18" s="4" t="s">
        <v>104</v>
      </c>
      <c r="P18" s="1">
        <v>3.875</v>
      </c>
    </row>
    <row r="19" spans="1:29" ht="21" x14ac:dyDescent="0.4">
      <c r="A19" s="1">
        <v>4.7092198581560281</v>
      </c>
      <c r="C19" s="4" t="s">
        <v>105</v>
      </c>
      <c r="D19" s="1">
        <v>17</v>
      </c>
      <c r="K19" s="4" t="s">
        <v>105</v>
      </c>
      <c r="L19" s="1">
        <v>36.647058823529413</v>
      </c>
      <c r="O19" s="4" t="s">
        <v>105</v>
      </c>
      <c r="P19" s="1">
        <v>4.333333333333333</v>
      </c>
      <c r="T19" t="s">
        <v>27</v>
      </c>
      <c r="W19" s="15" t="s">
        <v>31</v>
      </c>
      <c r="X19" s="15"/>
    </row>
    <row r="20" spans="1:29" x14ac:dyDescent="0.3">
      <c r="C20" s="4" t="s">
        <v>106</v>
      </c>
      <c r="D20" s="1">
        <v>17</v>
      </c>
      <c r="K20" s="4" t="s">
        <v>106</v>
      </c>
      <c r="L20" s="1">
        <v>34.941176470588232</v>
      </c>
      <c r="O20" s="4" t="s">
        <v>106</v>
      </c>
      <c r="P20" s="1">
        <v>3.5</v>
      </c>
      <c r="T20" s="3" t="s">
        <v>5</v>
      </c>
      <c r="U20" t="s">
        <v>26</v>
      </c>
      <c r="W20" s="3" t="s">
        <v>5</v>
      </c>
      <c r="X20" t="s">
        <v>30</v>
      </c>
    </row>
    <row r="21" spans="1:29" x14ac:dyDescent="0.3">
      <c r="C21" s="4" t="s">
        <v>107</v>
      </c>
      <c r="D21" s="1">
        <v>11</v>
      </c>
      <c r="K21" s="4" t="s">
        <v>107</v>
      </c>
      <c r="L21" s="1">
        <v>44</v>
      </c>
      <c r="O21" s="4" t="s">
        <v>107</v>
      </c>
      <c r="P21" s="1">
        <v>5.4</v>
      </c>
      <c r="T21" s="4" t="s">
        <v>18</v>
      </c>
      <c r="U21" s="7">
        <v>59</v>
      </c>
      <c r="W21" s="4" t="s">
        <v>28</v>
      </c>
      <c r="X21" s="7">
        <v>297</v>
      </c>
      <c r="AC21" s="3" t="s">
        <v>5</v>
      </c>
    </row>
    <row r="22" spans="1:29" x14ac:dyDescent="0.3">
      <c r="C22" s="4" t="s">
        <v>108</v>
      </c>
      <c r="D22" s="1">
        <v>23</v>
      </c>
      <c r="K22" s="4" t="s">
        <v>108</v>
      </c>
      <c r="L22" s="1">
        <v>38.913043478260867</v>
      </c>
      <c r="O22" s="4" t="s">
        <v>108</v>
      </c>
      <c r="P22" s="1">
        <v>5.375</v>
      </c>
      <c r="T22" s="4" t="s">
        <v>19</v>
      </c>
      <c r="U22" s="7">
        <v>55</v>
      </c>
      <c r="W22" s="4" t="s">
        <v>29</v>
      </c>
      <c r="X22" s="7">
        <v>188</v>
      </c>
      <c r="AC22" s="4" t="s">
        <v>124</v>
      </c>
    </row>
    <row r="23" spans="1:29" x14ac:dyDescent="0.3">
      <c r="C23" s="4" t="s">
        <v>109</v>
      </c>
      <c r="D23" s="1">
        <v>14</v>
      </c>
      <c r="K23" s="4" t="s">
        <v>109</v>
      </c>
      <c r="L23" s="1">
        <v>31</v>
      </c>
      <c r="O23" s="4" t="s">
        <v>109</v>
      </c>
      <c r="P23" s="1">
        <v>3.3333333333333335</v>
      </c>
      <c r="T23" s="4" t="s">
        <v>20</v>
      </c>
      <c r="U23" s="7">
        <v>69</v>
      </c>
      <c r="W23" s="4" t="s">
        <v>4</v>
      </c>
      <c r="X23" s="1">
        <v>485</v>
      </c>
      <c r="AC23" s="4" t="s">
        <v>4</v>
      </c>
    </row>
    <row r="24" spans="1:29" x14ac:dyDescent="0.3">
      <c r="C24" s="4" t="s">
        <v>110</v>
      </c>
      <c r="D24" s="1">
        <v>22</v>
      </c>
      <c r="K24" s="4" t="s">
        <v>110</v>
      </c>
      <c r="L24" s="1">
        <v>34.227272727272727</v>
      </c>
      <c r="O24" s="4" t="s">
        <v>110</v>
      </c>
      <c r="P24" s="1">
        <v>6.2</v>
      </c>
      <c r="T24" s="4" t="s">
        <v>21</v>
      </c>
      <c r="U24" s="7">
        <v>64</v>
      </c>
    </row>
    <row r="25" spans="1:29" x14ac:dyDescent="0.3">
      <c r="C25" s="4" t="s">
        <v>111</v>
      </c>
      <c r="D25" s="1">
        <v>16</v>
      </c>
      <c r="K25" s="4" t="s">
        <v>111</v>
      </c>
      <c r="L25" s="1">
        <v>31</v>
      </c>
      <c r="O25" s="4" t="s">
        <v>111</v>
      </c>
      <c r="P25" s="1">
        <v>1.6666666666666667</v>
      </c>
      <c r="T25" s="4" t="s">
        <v>22</v>
      </c>
      <c r="U25" s="7">
        <v>56</v>
      </c>
    </row>
    <row r="26" spans="1:29" x14ac:dyDescent="0.3">
      <c r="C26" s="4" t="s">
        <v>112</v>
      </c>
      <c r="D26" s="1">
        <v>13</v>
      </c>
      <c r="K26" s="4" t="s">
        <v>112</v>
      </c>
      <c r="L26" s="1">
        <v>32.153846153846153</v>
      </c>
      <c r="O26" s="4" t="s">
        <v>112</v>
      </c>
      <c r="P26" s="1">
        <v>4.5</v>
      </c>
      <c r="T26" s="4" t="s">
        <v>23</v>
      </c>
      <c r="U26" s="7">
        <v>60</v>
      </c>
    </row>
    <row r="27" spans="1:29" x14ac:dyDescent="0.3">
      <c r="C27" s="4" t="s">
        <v>113</v>
      </c>
      <c r="D27" s="1">
        <v>14</v>
      </c>
      <c r="K27" s="4" t="s">
        <v>113</v>
      </c>
      <c r="L27" s="1">
        <v>32.785714285714285</v>
      </c>
      <c r="O27" s="4" t="s">
        <v>113</v>
      </c>
      <c r="P27" s="1">
        <v>7.666666666666667</v>
      </c>
      <c r="T27" s="4" t="s">
        <v>24</v>
      </c>
      <c r="U27" s="7">
        <v>51</v>
      </c>
    </row>
    <row r="28" spans="1:29" x14ac:dyDescent="0.3">
      <c r="C28" s="4" t="s">
        <v>114</v>
      </c>
      <c r="D28" s="1">
        <v>12</v>
      </c>
      <c r="K28" s="4" t="s">
        <v>114</v>
      </c>
      <c r="L28" s="1">
        <v>30</v>
      </c>
      <c r="O28" s="4" t="s">
        <v>114</v>
      </c>
      <c r="P28" s="1">
        <v>4.4000000000000004</v>
      </c>
      <c r="T28" s="4" t="s">
        <v>25</v>
      </c>
      <c r="U28" s="7">
        <v>71</v>
      </c>
    </row>
    <row r="29" spans="1:29" x14ac:dyDescent="0.3">
      <c r="C29" s="4" t="s">
        <v>115</v>
      </c>
      <c r="D29" s="1">
        <v>12</v>
      </c>
      <c r="K29" s="4" t="s">
        <v>115</v>
      </c>
      <c r="L29" s="1">
        <v>33.5</v>
      </c>
      <c r="O29" s="4" t="s">
        <v>115</v>
      </c>
      <c r="P29" s="1">
        <v>6.5</v>
      </c>
      <c r="T29" s="4" t="s">
        <v>4</v>
      </c>
      <c r="U29" s="1">
        <v>485</v>
      </c>
    </row>
    <row r="30" spans="1:29" x14ac:dyDescent="0.3">
      <c r="C30" s="4" t="s">
        <v>116</v>
      </c>
      <c r="D30" s="1">
        <v>20</v>
      </c>
      <c r="K30" s="4" t="s">
        <v>116</v>
      </c>
      <c r="L30" s="1">
        <v>32.950000000000003</v>
      </c>
      <c r="O30" s="4" t="s">
        <v>116</v>
      </c>
      <c r="P30" s="1">
        <v>5</v>
      </c>
    </row>
    <row r="31" spans="1:29" x14ac:dyDescent="0.3">
      <c r="C31" s="4" t="s">
        <v>117</v>
      </c>
      <c r="D31" s="1">
        <v>19</v>
      </c>
      <c r="K31" s="4" t="s">
        <v>117</v>
      </c>
      <c r="L31" s="1">
        <v>35.842105263157897</v>
      </c>
      <c r="O31" s="4" t="s">
        <v>117</v>
      </c>
      <c r="P31" s="1">
        <v>5.25</v>
      </c>
    </row>
    <row r="32" spans="1:29" x14ac:dyDescent="0.3">
      <c r="C32" s="4" t="s">
        <v>118</v>
      </c>
      <c r="D32" s="1">
        <v>13</v>
      </c>
      <c r="K32" s="4" t="s">
        <v>118</v>
      </c>
      <c r="L32" s="1">
        <v>33.846153846153847</v>
      </c>
      <c r="O32" s="4" t="s">
        <v>118</v>
      </c>
      <c r="P32" s="1">
        <v>4.75</v>
      </c>
    </row>
    <row r="33" spans="3:16" x14ac:dyDescent="0.3">
      <c r="C33" s="4" t="s">
        <v>119</v>
      </c>
      <c r="D33" s="1">
        <v>15</v>
      </c>
      <c r="K33" s="4" t="s">
        <v>119</v>
      </c>
      <c r="L33" s="1">
        <v>39.06666666666667</v>
      </c>
      <c r="O33" s="4" t="s">
        <v>119</v>
      </c>
      <c r="P33" s="1">
        <v>5</v>
      </c>
    </row>
    <row r="34" spans="3:16" x14ac:dyDescent="0.3">
      <c r="C34" s="4" t="s">
        <v>120</v>
      </c>
      <c r="D34" s="1">
        <v>19</v>
      </c>
      <c r="K34" s="4" t="s">
        <v>120</v>
      </c>
      <c r="L34" s="1">
        <v>36.684210526315788</v>
      </c>
      <c r="O34" s="4" t="s">
        <v>120</v>
      </c>
      <c r="P34" s="1">
        <v>4</v>
      </c>
    </row>
    <row r="35" spans="3:16" x14ac:dyDescent="0.3">
      <c r="C35" s="4" t="s">
        <v>121</v>
      </c>
      <c r="D35" s="1">
        <v>17</v>
      </c>
      <c r="K35" s="4" t="s">
        <v>121</v>
      </c>
      <c r="L35" s="1">
        <v>33.764705882352942</v>
      </c>
      <c r="O35" s="4" t="s">
        <v>121</v>
      </c>
      <c r="P35" s="1">
        <v>5.333333333333333</v>
      </c>
    </row>
    <row r="36" spans="3:16" x14ac:dyDescent="0.3">
      <c r="C36" s="4" t="s">
        <v>122</v>
      </c>
      <c r="D36" s="1">
        <v>15</v>
      </c>
      <c r="K36" s="4" t="s">
        <v>122</v>
      </c>
      <c r="L36" s="1">
        <v>34.533333333333331</v>
      </c>
      <c r="O36" s="4" t="s">
        <v>122</v>
      </c>
      <c r="P36" s="1">
        <v>6</v>
      </c>
    </row>
    <row r="37" spans="3:16" x14ac:dyDescent="0.3">
      <c r="C37" s="4" t="s">
        <v>123</v>
      </c>
      <c r="D37" s="1">
        <v>16</v>
      </c>
      <c r="K37" s="4" t="s">
        <v>123</v>
      </c>
      <c r="L37" s="1">
        <v>42.125</v>
      </c>
      <c r="O37" s="4" t="s">
        <v>123</v>
      </c>
      <c r="P37" s="1">
        <v>6.333333333333333</v>
      </c>
    </row>
    <row r="38" spans="3:16" x14ac:dyDescent="0.3">
      <c r="C38" s="4" t="s">
        <v>4</v>
      </c>
      <c r="D38" s="1">
        <v>485</v>
      </c>
      <c r="K38" s="4" t="s">
        <v>4</v>
      </c>
      <c r="L38" s="1">
        <v>35.507216494845359</v>
      </c>
      <c r="O38" s="4" t="s">
        <v>4</v>
      </c>
      <c r="P38" s="1">
        <v>4.7092198581560281</v>
      </c>
    </row>
  </sheetData>
  <mergeCells count="1">
    <mergeCell ref="W19:X19"/>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D675-0282-4377-AE45-9152DCA40305}">
  <dimension ref="B4:Q29"/>
  <sheetViews>
    <sheetView tabSelected="1" topLeftCell="B3" workbookViewId="0">
      <selection activeCell="T19" sqref="T19"/>
    </sheetView>
  </sheetViews>
  <sheetFormatPr defaultRowHeight="14.4" x14ac:dyDescent="0.3"/>
  <cols>
    <col min="15" max="15" width="5.44140625" customWidth="1"/>
  </cols>
  <sheetData>
    <row r="4" spans="2:15" x14ac:dyDescent="0.3">
      <c r="B4" s="2"/>
      <c r="C4" s="2"/>
      <c r="D4" s="2"/>
      <c r="E4" s="2"/>
      <c r="F4" s="2"/>
      <c r="G4" s="2"/>
      <c r="H4" s="2"/>
      <c r="I4" s="2"/>
      <c r="J4" s="2"/>
      <c r="K4" s="2"/>
      <c r="L4" s="2"/>
      <c r="M4" s="2"/>
      <c r="N4" s="2"/>
      <c r="O4" s="2"/>
    </row>
    <row r="5" spans="2:15" x14ac:dyDescent="0.3">
      <c r="B5" s="2"/>
      <c r="C5" s="2"/>
      <c r="D5" s="2"/>
      <c r="E5" s="2"/>
      <c r="F5" s="2"/>
      <c r="G5" s="2"/>
      <c r="H5" s="2"/>
      <c r="I5" s="2"/>
      <c r="J5" s="2"/>
      <c r="K5" s="2"/>
      <c r="L5" s="2"/>
      <c r="M5" s="2"/>
      <c r="N5" s="2"/>
      <c r="O5" s="2"/>
    </row>
    <row r="6" spans="2:15" x14ac:dyDescent="0.3">
      <c r="B6" s="2"/>
      <c r="C6" s="2"/>
      <c r="D6" s="2"/>
      <c r="E6" s="2"/>
      <c r="F6" s="2"/>
      <c r="G6" s="2"/>
      <c r="H6" s="2"/>
      <c r="I6" s="2"/>
      <c r="J6" s="2"/>
      <c r="K6" s="2"/>
      <c r="L6" s="2"/>
      <c r="M6" s="2"/>
      <c r="N6" s="2"/>
      <c r="O6" s="2"/>
    </row>
    <row r="7" spans="2:15" x14ac:dyDescent="0.3">
      <c r="B7" s="2"/>
      <c r="C7" s="2"/>
      <c r="D7" s="2"/>
      <c r="E7" s="2"/>
      <c r="F7" s="2"/>
      <c r="G7" s="2"/>
      <c r="H7" s="2"/>
      <c r="I7" s="2"/>
      <c r="J7" s="2"/>
      <c r="K7" s="2"/>
      <c r="L7" s="2"/>
      <c r="M7" s="2"/>
      <c r="N7" s="2"/>
      <c r="O7" s="2"/>
    </row>
    <row r="8" spans="2:15" x14ac:dyDescent="0.3">
      <c r="B8" s="2"/>
      <c r="C8" s="2"/>
      <c r="D8" s="2"/>
      <c r="E8" s="2"/>
      <c r="F8" s="2"/>
      <c r="G8" s="2"/>
      <c r="H8" s="2"/>
      <c r="I8" s="2"/>
      <c r="J8" s="2"/>
      <c r="K8" s="2"/>
      <c r="L8" s="2"/>
      <c r="M8" s="2"/>
      <c r="N8" s="2"/>
      <c r="O8" s="2"/>
    </row>
    <row r="9" spans="2:15" x14ac:dyDescent="0.3">
      <c r="B9" s="2"/>
      <c r="C9" s="2"/>
      <c r="D9" s="2"/>
      <c r="E9" s="2"/>
      <c r="F9" s="2"/>
      <c r="G9" s="2"/>
      <c r="H9" s="2"/>
      <c r="I9" s="2"/>
      <c r="J9" s="2"/>
      <c r="K9" s="2"/>
      <c r="L9" s="2"/>
      <c r="M9" s="2"/>
      <c r="N9" s="2"/>
      <c r="O9" s="2"/>
    </row>
    <row r="10" spans="2:15" x14ac:dyDescent="0.3">
      <c r="B10" s="2"/>
      <c r="C10" s="2"/>
      <c r="D10" s="2"/>
      <c r="E10" s="2"/>
      <c r="F10" s="2"/>
      <c r="G10" s="2"/>
      <c r="H10" s="2"/>
      <c r="I10" s="2"/>
      <c r="J10" s="2"/>
      <c r="K10" s="2"/>
      <c r="L10" s="2"/>
      <c r="M10" s="2"/>
      <c r="N10" s="2"/>
      <c r="O10" s="2"/>
    </row>
    <row r="11" spans="2:15" x14ac:dyDescent="0.3">
      <c r="B11" s="2"/>
      <c r="C11" s="2"/>
      <c r="D11" s="2"/>
      <c r="E11" s="2"/>
      <c r="F11" s="2"/>
      <c r="G11" s="2"/>
      <c r="H11" s="2"/>
      <c r="I11" s="2"/>
      <c r="J11" s="2"/>
      <c r="K11" s="2"/>
      <c r="L11" s="2"/>
      <c r="M11" s="2"/>
      <c r="N11" s="2"/>
      <c r="O11" s="2"/>
    </row>
    <row r="12" spans="2:15" x14ac:dyDescent="0.3">
      <c r="B12" s="2"/>
      <c r="C12" s="2"/>
      <c r="D12" s="2"/>
      <c r="E12" s="2"/>
      <c r="F12" s="2"/>
      <c r="G12" s="2"/>
      <c r="H12" s="2"/>
      <c r="I12" s="2"/>
      <c r="J12" s="2"/>
      <c r="K12" s="2"/>
      <c r="L12" s="2"/>
      <c r="M12" s="2"/>
      <c r="N12" s="2"/>
      <c r="O12" s="2"/>
    </row>
    <row r="13" spans="2:15" x14ac:dyDescent="0.3">
      <c r="B13" s="2"/>
      <c r="C13" s="2"/>
      <c r="D13" s="2"/>
      <c r="E13" s="2"/>
      <c r="F13" s="2"/>
      <c r="G13" s="2"/>
      <c r="H13" s="2"/>
      <c r="I13" s="2"/>
      <c r="J13" s="2"/>
      <c r="K13" s="2"/>
      <c r="L13" s="2"/>
      <c r="M13" s="2"/>
      <c r="N13" s="2"/>
      <c r="O13" s="2"/>
    </row>
    <row r="14" spans="2:15" x14ac:dyDescent="0.3">
      <c r="B14" s="2"/>
      <c r="C14" s="2"/>
      <c r="D14" s="2"/>
      <c r="E14" s="2"/>
      <c r="F14" s="2"/>
      <c r="G14" s="2"/>
      <c r="H14" s="2"/>
      <c r="I14" s="2"/>
      <c r="J14" s="2"/>
      <c r="K14" s="2"/>
      <c r="L14" s="2"/>
      <c r="M14" s="2"/>
      <c r="N14" s="2"/>
      <c r="O14" s="2"/>
    </row>
    <row r="15" spans="2:15" x14ac:dyDescent="0.3">
      <c r="B15" s="2"/>
      <c r="C15" s="2"/>
      <c r="D15" s="2"/>
      <c r="E15" s="2"/>
      <c r="F15" s="2"/>
      <c r="G15" s="2"/>
      <c r="H15" s="2"/>
      <c r="I15" s="2"/>
      <c r="J15" s="2"/>
      <c r="K15" s="2"/>
      <c r="L15" s="2"/>
      <c r="M15" s="2"/>
      <c r="N15" s="2"/>
      <c r="O15" s="2"/>
    </row>
    <row r="16" spans="2:15" x14ac:dyDescent="0.3">
      <c r="B16" s="2"/>
      <c r="C16" s="2"/>
      <c r="D16" s="2"/>
      <c r="E16" s="2"/>
      <c r="F16" s="2"/>
      <c r="G16" s="2"/>
      <c r="H16" s="2"/>
      <c r="I16" s="2"/>
      <c r="J16" s="2"/>
      <c r="K16" s="2"/>
      <c r="L16" s="2"/>
      <c r="M16" s="2"/>
      <c r="N16" s="2"/>
      <c r="O16" s="2"/>
    </row>
    <row r="17" spans="2:17" x14ac:dyDescent="0.3">
      <c r="B17" s="2"/>
      <c r="C17" s="2"/>
      <c r="D17" s="2"/>
      <c r="E17" s="2"/>
      <c r="F17" s="2"/>
      <c r="G17" s="2"/>
      <c r="H17" s="2"/>
      <c r="I17" s="2"/>
      <c r="J17" s="2"/>
      <c r="K17" s="2"/>
      <c r="L17" s="2"/>
      <c r="M17" s="2"/>
      <c r="N17" s="2"/>
      <c r="O17" s="2"/>
    </row>
    <row r="18" spans="2:17" x14ac:dyDescent="0.3">
      <c r="B18" s="2"/>
      <c r="C18" s="2"/>
      <c r="D18" s="2"/>
      <c r="E18" s="2"/>
      <c r="F18" s="2"/>
      <c r="G18" s="2"/>
      <c r="H18" s="2"/>
      <c r="I18" s="2"/>
      <c r="J18" s="2"/>
      <c r="K18" s="2"/>
      <c r="L18" s="2"/>
      <c r="M18" s="2"/>
      <c r="N18" s="2"/>
      <c r="O18" s="2"/>
    </row>
    <row r="19" spans="2:17" x14ac:dyDescent="0.3">
      <c r="B19" s="2"/>
      <c r="C19" s="2"/>
      <c r="D19" s="2"/>
      <c r="E19" s="2"/>
      <c r="F19" s="2"/>
      <c r="G19" s="2"/>
      <c r="H19" s="2"/>
      <c r="I19" s="2"/>
      <c r="J19" s="2"/>
      <c r="K19" s="2"/>
      <c r="L19" s="2"/>
      <c r="M19" s="2"/>
      <c r="N19" s="2"/>
      <c r="O19" s="2"/>
    </row>
    <row r="20" spans="2:17" x14ac:dyDescent="0.3">
      <c r="B20" s="2"/>
      <c r="C20" s="2"/>
      <c r="D20" s="2"/>
      <c r="E20" s="2"/>
      <c r="F20" s="2"/>
      <c r="G20" s="2"/>
      <c r="H20" s="2"/>
      <c r="I20" s="2"/>
      <c r="J20" s="2"/>
      <c r="K20" s="2"/>
      <c r="L20" s="2"/>
      <c r="M20" s="2"/>
      <c r="N20" s="2"/>
      <c r="O20" s="2"/>
      <c r="Q20" s="5"/>
    </row>
    <row r="21" spans="2:17" x14ac:dyDescent="0.3">
      <c r="B21" s="2"/>
      <c r="C21" s="2"/>
      <c r="D21" s="2"/>
      <c r="E21" s="2"/>
      <c r="F21" s="2"/>
      <c r="G21" s="2"/>
      <c r="H21" s="2"/>
      <c r="I21" s="2"/>
      <c r="J21" s="2"/>
      <c r="K21" s="2"/>
      <c r="L21" s="2"/>
      <c r="M21" s="2"/>
      <c r="N21" s="2"/>
      <c r="O21" s="2"/>
    </row>
    <row r="22" spans="2:17" x14ac:dyDescent="0.3">
      <c r="B22" s="2"/>
      <c r="C22" s="2"/>
      <c r="D22" s="2"/>
      <c r="E22" s="2"/>
      <c r="F22" s="2"/>
      <c r="G22" s="2"/>
      <c r="H22" s="2"/>
      <c r="I22" s="2"/>
      <c r="J22" s="2"/>
      <c r="K22" s="2"/>
      <c r="L22" s="2"/>
      <c r="M22" s="2"/>
      <c r="N22" s="2"/>
      <c r="O22" s="2"/>
    </row>
    <row r="23" spans="2:17" x14ac:dyDescent="0.3">
      <c r="B23" s="2"/>
      <c r="C23" s="2"/>
      <c r="D23" s="2"/>
      <c r="E23" s="2"/>
      <c r="F23" s="2"/>
      <c r="G23" s="2"/>
      <c r="H23" s="2"/>
      <c r="I23" s="2"/>
      <c r="J23" s="2"/>
      <c r="K23" s="2"/>
      <c r="L23" s="2"/>
      <c r="M23" s="2"/>
      <c r="N23" s="2"/>
      <c r="O23" s="2"/>
    </row>
    <row r="24" spans="2:17" x14ac:dyDescent="0.3">
      <c r="B24" s="2"/>
      <c r="C24" s="2"/>
      <c r="D24" s="2"/>
      <c r="E24" s="2"/>
      <c r="F24" s="2"/>
      <c r="G24" s="2"/>
      <c r="H24" s="2"/>
      <c r="I24" s="2"/>
      <c r="J24" s="2"/>
      <c r="K24" s="2"/>
      <c r="L24" s="2"/>
      <c r="M24" s="2"/>
      <c r="N24" s="2"/>
      <c r="O24" s="2"/>
    </row>
    <row r="25" spans="2:17" x14ac:dyDescent="0.3">
      <c r="B25" s="2"/>
      <c r="C25" s="2"/>
      <c r="D25" s="2"/>
      <c r="E25" s="2"/>
      <c r="F25" s="2"/>
      <c r="G25" s="2"/>
      <c r="H25" s="2"/>
      <c r="I25" s="2"/>
      <c r="J25" s="2"/>
      <c r="K25" s="2"/>
      <c r="L25" s="2"/>
      <c r="M25" s="2"/>
      <c r="N25" s="2"/>
      <c r="O25" s="2"/>
    </row>
    <row r="26" spans="2:17" x14ac:dyDescent="0.3">
      <c r="B26" s="2"/>
      <c r="C26" s="2"/>
      <c r="D26" s="2"/>
      <c r="E26" s="2"/>
      <c r="F26" s="2"/>
      <c r="G26" s="2"/>
      <c r="H26" s="2"/>
      <c r="I26" s="2"/>
      <c r="J26" s="2"/>
      <c r="K26" s="2"/>
      <c r="L26" s="2"/>
      <c r="M26" s="2"/>
      <c r="N26" s="2"/>
      <c r="O26" s="2"/>
    </row>
    <row r="27" spans="2:17" x14ac:dyDescent="0.3">
      <c r="B27" s="2"/>
      <c r="C27" s="2"/>
      <c r="D27" s="2"/>
      <c r="E27" s="2"/>
      <c r="F27" s="2"/>
      <c r="G27" s="2"/>
      <c r="H27" s="2"/>
      <c r="I27" s="2"/>
      <c r="J27" s="2"/>
      <c r="K27" s="2"/>
      <c r="L27" s="2"/>
      <c r="M27" s="2"/>
      <c r="N27" s="2"/>
      <c r="O27" s="2"/>
    </row>
    <row r="28" spans="2:17" x14ac:dyDescent="0.3">
      <c r="B28" s="2"/>
      <c r="C28" s="2"/>
      <c r="D28" s="2"/>
      <c r="E28" s="2"/>
      <c r="F28" s="2"/>
      <c r="G28" s="2"/>
      <c r="H28" s="2"/>
      <c r="I28" s="2"/>
      <c r="J28" s="2"/>
      <c r="K28" s="2"/>
      <c r="L28" s="2"/>
      <c r="M28" s="2"/>
      <c r="N28" s="2"/>
      <c r="O28" s="2"/>
    </row>
    <row r="29" spans="2:17" x14ac:dyDescent="0.3">
      <c r="B29" s="2"/>
      <c r="C29" s="2"/>
      <c r="D29" s="2"/>
      <c r="E29" s="2"/>
      <c r="F29" s="2"/>
      <c r="G29" s="2"/>
      <c r="H29" s="2"/>
      <c r="I29" s="2"/>
      <c r="J29" s="2"/>
      <c r="K29" s="2"/>
      <c r="L29" s="2"/>
      <c r="M29" s="2"/>
      <c r="N29" s="2"/>
      <c r="O29"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AB9B9-7E3E-412C-8281-196D2C79AE9F}">
  <dimension ref="B28:P28"/>
  <sheetViews>
    <sheetView workbookViewId="0">
      <selection activeCell="B28" sqref="B28:P28"/>
    </sheetView>
  </sheetViews>
  <sheetFormatPr defaultRowHeight="14.4" x14ac:dyDescent="0.3"/>
  <sheetData>
    <row r="28" spans="2:16" ht="21" x14ac:dyDescent="0.4">
      <c r="B28" s="16" t="s">
        <v>9</v>
      </c>
      <c r="C28" s="17"/>
      <c r="D28" s="17"/>
      <c r="E28" s="17"/>
      <c r="F28" s="17"/>
      <c r="G28" s="17"/>
      <c r="H28" s="17"/>
      <c r="I28" s="17"/>
      <c r="J28" s="17"/>
      <c r="K28" s="17"/>
      <c r="L28" s="17"/>
      <c r="M28" s="17"/>
      <c r="N28" s="17"/>
      <c r="O28" s="17"/>
      <c r="P28" s="17"/>
    </row>
  </sheetData>
  <mergeCells count="1">
    <mergeCell ref="B28:P2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455F9-8FE5-429D-BD0C-0D505953953C}">
  <dimension ref="C29:Q30"/>
  <sheetViews>
    <sheetView workbookViewId="0">
      <selection activeCell="C29" sqref="C29:Q29"/>
    </sheetView>
  </sheetViews>
  <sheetFormatPr defaultRowHeight="14.4" x14ac:dyDescent="0.3"/>
  <sheetData>
    <row r="29" spans="3:17" ht="19.8" x14ac:dyDescent="0.4">
      <c r="C29" s="18" t="s">
        <v>9</v>
      </c>
      <c r="D29" s="19"/>
      <c r="E29" s="19"/>
      <c r="F29" s="19"/>
      <c r="G29" s="19"/>
      <c r="H29" s="19"/>
      <c r="I29" s="19"/>
      <c r="J29" s="19"/>
      <c r="K29" s="19"/>
      <c r="L29" s="19"/>
      <c r="M29" s="19"/>
      <c r="N29" s="19"/>
      <c r="O29" s="19"/>
      <c r="P29" s="19"/>
      <c r="Q29" s="19"/>
    </row>
    <row r="30" spans="3:17" x14ac:dyDescent="0.3">
      <c r="C30" s="17"/>
      <c r="D30" s="17"/>
      <c r="E30" s="17"/>
      <c r="F30" s="17"/>
      <c r="G30" s="17"/>
      <c r="H30" s="17"/>
      <c r="I30" s="17"/>
      <c r="J30" s="17"/>
      <c r="K30" s="17"/>
      <c r="L30" s="17"/>
      <c r="M30" s="17"/>
      <c r="N30" s="17"/>
      <c r="O30" s="17"/>
      <c r="P30" s="17"/>
      <c r="Q30" s="17"/>
    </row>
  </sheetData>
  <mergeCells count="2">
    <mergeCell ref="C29:Q29"/>
    <mergeCell ref="C30:Q3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8B4B-5805-49CD-91BD-30FDD4E2805F}">
  <dimension ref="B28:P28"/>
  <sheetViews>
    <sheetView workbookViewId="0"/>
  </sheetViews>
  <sheetFormatPr defaultRowHeight="14.4" x14ac:dyDescent="0.3"/>
  <sheetData>
    <row r="28" spans="2:16" ht="21" x14ac:dyDescent="0.4">
      <c r="B28" s="16" t="s">
        <v>8</v>
      </c>
      <c r="C28" s="16"/>
      <c r="D28" s="16"/>
      <c r="E28" s="16"/>
      <c r="F28" s="16"/>
      <c r="G28" s="16"/>
      <c r="H28" s="16"/>
      <c r="I28" s="16"/>
      <c r="J28" s="16"/>
      <c r="K28" s="16"/>
      <c r="L28" s="16"/>
      <c r="M28" s="16"/>
      <c r="N28" s="16"/>
      <c r="O28" s="16"/>
      <c r="P28" s="16"/>
    </row>
  </sheetData>
  <mergeCells count="1">
    <mergeCell ref="B28:P2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E95246A-EBC8-4917-90FE-65D998273DAB}">
  <ds:schemaRefs/>
</ds:datastoreItem>
</file>

<file path=customXml/itemProps2.xml><?xml version="1.0" encoding="utf-8"?>
<ds:datastoreItem xmlns:ds="http://schemas.openxmlformats.org/officeDocument/2006/customXml" ds:itemID="{3D0D10DD-D30D-4FF3-A8BC-609D36B77401}">
  <ds:schemaRefs/>
</ds:datastoreItem>
</file>

<file path=customXml/itemProps3.xml><?xml version="1.0" encoding="utf-8"?>
<ds:datastoreItem xmlns:ds="http://schemas.openxmlformats.org/officeDocument/2006/customXml" ds:itemID="{32536FE4-0F1F-43B1-B5FF-1779CCCD4F15}">
  <ds:schemaRefs/>
</ds:datastoreItem>
</file>

<file path=customXml/itemProps4.xml><?xml version="1.0" encoding="utf-8"?>
<ds:datastoreItem xmlns:ds="http://schemas.openxmlformats.org/officeDocument/2006/customXml" ds:itemID="{868C773B-D3D0-4D76-81FC-1984665C2020}">
  <ds:schemaRefs>
    <ds:schemaRef ds:uri="http://schemas.microsoft.com/DataMashup"/>
  </ds:schemaRefs>
</ds:datastoreItem>
</file>

<file path=customXml/itemProps5.xml><?xml version="1.0" encoding="utf-8"?>
<ds:datastoreItem xmlns:ds="http://schemas.openxmlformats.org/officeDocument/2006/customXml" ds:itemID="{52A7F781-513D-470E-B644-9C76A0E59080}">
  <ds:schemaRefs/>
</ds:datastoreItem>
</file>

<file path=customXml/itemProps6.xml><?xml version="1.0" encoding="utf-8"?>
<ds:datastoreItem xmlns:ds="http://schemas.openxmlformats.org/officeDocument/2006/customXml" ds:itemID="{530E63C2-F2D7-4CC2-919C-D4AA1290CF88}">
  <ds:schemaRefs/>
</ds:datastoreItem>
</file>

<file path=customXml/itemProps7.xml><?xml version="1.0" encoding="utf-8"?>
<ds:datastoreItem xmlns:ds="http://schemas.openxmlformats.org/officeDocument/2006/customXml" ds:itemID="{5E8B9ABF-959B-467C-90BF-58C1A78D7C8D}">
  <ds:schemaRefs/>
</ds:datastoreItem>
</file>

<file path=customXml/itemProps8.xml><?xml version="1.0" encoding="utf-8"?>
<ds:datastoreItem xmlns:ds="http://schemas.openxmlformats.org/officeDocument/2006/customXml" ds:itemID="{C03542E9-9C48-4AEB-A2CD-5EAFC526B619}">
  <ds:schemaRefs/>
</ds:datastoreItem>
</file>

<file path=customXml/itemProps9.xml><?xml version="1.0" encoding="utf-8"?>
<ds:datastoreItem xmlns:ds="http://schemas.openxmlformats.org/officeDocument/2006/customXml" ds:itemID="{B30CA8E5-6A5A-40EF-996F-D4E3FF75C6CB}">
  <ds:schemaRefs/>
</ds:datastoreItem>
</file>

<file path=customXml/itemProps10.xml><?xml version="1.0" encoding="utf-8"?>
<ds:datastoreItem xmlns:ds="http://schemas.openxmlformats.org/officeDocument/2006/customXml" ds:itemID="{C653658E-1C43-42EB-8AE3-E72A6BB3B7D2}">
  <ds:schemaRefs/>
</ds:datastoreItem>
</file>

<file path=customXml/itemProps11.xml><?xml version="1.0" encoding="utf-8"?>
<ds:datastoreItem xmlns:ds="http://schemas.openxmlformats.org/officeDocument/2006/customXml" ds:itemID="{DD1B23D8-841C-4260-8E9E-11DFE42F5B93}">
  <ds:schemaRefs/>
</ds:datastoreItem>
</file>

<file path=customXml/itemProps12.xml><?xml version="1.0" encoding="utf-8"?>
<ds:datastoreItem xmlns:ds="http://schemas.openxmlformats.org/officeDocument/2006/customXml" ds:itemID="{208BD710-8F8D-4C44-8E5D-4D0D81C1928D}">
  <ds:schemaRefs/>
</ds:datastoreItem>
</file>

<file path=customXml/itemProps13.xml><?xml version="1.0" encoding="utf-8"?>
<ds:datastoreItem xmlns:ds="http://schemas.openxmlformats.org/officeDocument/2006/customXml" ds:itemID="{3FF80CBD-08F2-4175-8C77-553A28C09B2C}">
  <ds:schemaRefs/>
</ds:datastoreItem>
</file>

<file path=customXml/itemProps14.xml><?xml version="1.0" encoding="utf-8"?>
<ds:datastoreItem xmlns:ds="http://schemas.openxmlformats.org/officeDocument/2006/customXml" ds:itemID="{CF0693F7-AB23-4307-9180-A19F4D722501}">
  <ds:schemaRefs/>
</ds:datastoreItem>
</file>

<file path=customXml/itemProps15.xml><?xml version="1.0" encoding="utf-8"?>
<ds:datastoreItem xmlns:ds="http://schemas.openxmlformats.org/officeDocument/2006/customXml" ds:itemID="{0DD35E62-50A1-48B0-89AB-5498E4633233}">
  <ds:schemaRefs/>
</ds:datastoreItem>
</file>

<file path=customXml/itemProps16.xml><?xml version="1.0" encoding="utf-8"?>
<ds:datastoreItem xmlns:ds="http://schemas.openxmlformats.org/officeDocument/2006/customXml" ds:itemID="{7EF946B1-8B90-4ED8-BB41-47C5FAB46A3D}">
  <ds:schemaRefs/>
</ds:datastoreItem>
</file>

<file path=customXml/itemProps17.xml><?xml version="1.0" encoding="utf-8"?>
<ds:datastoreItem xmlns:ds="http://schemas.openxmlformats.org/officeDocument/2006/customXml" ds:itemID="{B2A8E9EE-56BA-4F75-9F02-FBD6D633E6BA}">
  <ds:schemaRefs/>
</ds:datastoreItem>
</file>

<file path=customXml/itemProps18.xml><?xml version="1.0" encoding="utf-8"?>
<ds:datastoreItem xmlns:ds="http://schemas.openxmlformats.org/officeDocument/2006/customXml" ds:itemID="{3F3F9BBA-06F8-49B6-8660-729B6DB2EE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report</vt:lpstr>
      <vt:lpstr>Dashboard</vt:lpstr>
      <vt:lpstr>Patient Satisfaction</vt:lpstr>
      <vt:lpstr>Avg wait daily trend</vt:lpstr>
      <vt:lpstr>daily er no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Malik</dc:creator>
  <cp:lastModifiedBy>Sourav Malik</cp:lastModifiedBy>
  <dcterms:created xsi:type="dcterms:W3CDTF">2026-09-13T09:55:52Z</dcterms:created>
  <dcterms:modified xsi:type="dcterms:W3CDTF">2026-09-23T19:08:10Z</dcterms:modified>
</cp:coreProperties>
</file>